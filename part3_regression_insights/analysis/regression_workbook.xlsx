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98408ef3b99f8ac/BITSOM COURSE IN AI/FINAL_CAPSTONE_PROJECT/part3_regression_insights/analysis/"/>
    </mc:Choice>
  </mc:AlternateContent>
  <xr:revisionPtr revIDLastSave="19" documentId="11_F25DC773A252ABDACC1048FA411D7C6A5BDE58E4" xr6:coauthVersionLast="47" xr6:coauthVersionMax="47" xr10:uidLastSave="{FAC435E0-D7D2-4EAB-995C-663C01E12D1F}"/>
  <bookViews>
    <workbookView xWindow="-110" yWindow="-110" windowWidth="19420" windowHeight="10300" firstSheet="3" activeTab="6" xr2:uid="{00000000-000D-0000-FFFF-FFFF00000000}"/>
  </bookViews>
  <sheets>
    <sheet name="Original_Data" sheetId="1" r:id="rId1"/>
    <sheet name="Cleaned_Data" sheetId="2" r:id="rId2"/>
    <sheet name=" Dummy_Variables" sheetId="3" r:id="rId3"/>
    <sheet name="Simple_Regression" sheetId="4" r:id="rId4"/>
    <sheet name="Multiple_Regression" sheetId="5" r:id="rId5"/>
    <sheet name="Predictions_Residuals" sheetId="6" r:id="rId6"/>
    <sheet name="Model_Comparison" sheetId="7" r:id="rId7"/>
  </sheets>
  <definedNames>
    <definedName name="_xlnm._FilterDatabase" localSheetId="1" hidden="1">Cleaned_Data!$A$1:$P$321</definedName>
    <definedName name="_xlnm._FilterDatabase" localSheetId="5" hidden="1">Predictions_Residuals!$A$1:$M$321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0" i="6" l="1"/>
  <c r="L70" i="6" s="1"/>
  <c r="M70" i="6" s="1"/>
  <c r="K29" i="6"/>
  <c r="L29" i="6" s="1"/>
  <c r="M29" i="6" s="1"/>
  <c r="K22" i="6"/>
  <c r="L22" i="6" s="1"/>
  <c r="M22" i="6" s="1"/>
  <c r="K9" i="6"/>
  <c r="L9" i="6" s="1"/>
  <c r="M9" i="6" s="1"/>
  <c r="K40" i="6"/>
  <c r="L40" i="6" s="1"/>
  <c r="M40" i="6" s="1"/>
  <c r="K111" i="6"/>
  <c r="L111" i="6" s="1"/>
  <c r="M111" i="6" s="1"/>
  <c r="K230" i="6"/>
  <c r="L230" i="6" s="1"/>
  <c r="M230" i="6" s="1"/>
  <c r="K312" i="6"/>
  <c r="L312" i="6" s="1"/>
  <c r="M312" i="6" s="1"/>
  <c r="K295" i="6"/>
  <c r="L295" i="6" s="1"/>
  <c r="M295" i="6" s="1"/>
  <c r="K81" i="6"/>
  <c r="L81" i="6" s="1"/>
  <c r="M81" i="6" s="1"/>
  <c r="K53" i="6"/>
  <c r="L53" i="6" s="1"/>
  <c r="M53" i="6" s="1"/>
  <c r="K280" i="6"/>
  <c r="L280" i="6" s="1"/>
  <c r="M280" i="6" s="1"/>
  <c r="K294" i="6"/>
  <c r="L294" i="6" s="1"/>
  <c r="M294" i="6" s="1"/>
  <c r="K60" i="6"/>
  <c r="L60" i="6" s="1"/>
  <c r="M60" i="6" s="1"/>
  <c r="K191" i="6"/>
  <c r="L191" i="6" s="1"/>
  <c r="M191" i="6" s="1"/>
  <c r="K277" i="6"/>
  <c r="L277" i="6" s="1"/>
  <c r="M277" i="6" s="1"/>
  <c r="K114" i="6"/>
  <c r="L114" i="6" s="1"/>
  <c r="M114" i="6" s="1"/>
  <c r="K82" i="6"/>
  <c r="L82" i="6" s="1"/>
  <c r="M82" i="6" s="1"/>
  <c r="K105" i="6"/>
  <c r="L105" i="6" s="1"/>
  <c r="M105" i="6" s="1"/>
  <c r="K141" i="6"/>
  <c r="L141" i="6" s="1"/>
  <c r="M141" i="6" s="1"/>
  <c r="K16" i="6"/>
  <c r="L16" i="6" s="1"/>
  <c r="M16" i="6" s="1"/>
  <c r="K184" i="6"/>
  <c r="L184" i="6" s="1"/>
  <c r="M184" i="6" s="1"/>
  <c r="K259" i="6"/>
  <c r="L259" i="6" s="1"/>
  <c r="M259" i="6" s="1"/>
  <c r="K228" i="6"/>
  <c r="L228" i="6" s="1"/>
  <c r="M228" i="6" s="1"/>
  <c r="K62" i="6"/>
  <c r="L62" i="6" s="1"/>
  <c r="M62" i="6" s="1"/>
  <c r="K5" i="6"/>
  <c r="L5" i="6" s="1"/>
  <c r="M5" i="6" s="1"/>
  <c r="K93" i="6"/>
  <c r="L93" i="6" s="1"/>
  <c r="M93" i="6" s="1"/>
  <c r="K145" i="6"/>
  <c r="L145" i="6" s="1"/>
  <c r="M145" i="6" s="1"/>
  <c r="K27" i="6"/>
  <c r="L27" i="6" s="1"/>
  <c r="M27" i="6" s="1"/>
  <c r="K226" i="6"/>
  <c r="L226" i="6" s="1"/>
  <c r="M226" i="6" s="1"/>
  <c r="K164" i="6"/>
  <c r="L164" i="6" s="1"/>
  <c r="M164" i="6" s="1"/>
  <c r="K31" i="6"/>
  <c r="L31" i="6" s="1"/>
  <c r="M31" i="6" s="1"/>
  <c r="K6" i="6"/>
  <c r="L6" i="6" s="1"/>
  <c r="M6" i="6" s="1"/>
  <c r="K45" i="6"/>
  <c r="L45" i="6" s="1"/>
  <c r="M45" i="6" s="1"/>
  <c r="K182" i="6"/>
  <c r="L182" i="6" s="1"/>
  <c r="M182" i="6" s="1"/>
  <c r="K94" i="6"/>
  <c r="L94" i="6" s="1"/>
  <c r="M94" i="6" s="1"/>
  <c r="K279" i="6"/>
  <c r="L279" i="6" s="1"/>
  <c r="M279" i="6" s="1"/>
  <c r="K46" i="6"/>
  <c r="L46" i="6" s="1"/>
  <c r="M46" i="6" s="1"/>
  <c r="K109" i="6"/>
  <c r="L109" i="6" s="1"/>
  <c r="M109" i="6" s="1"/>
  <c r="K149" i="6"/>
  <c r="L149" i="6" s="1"/>
  <c r="M149" i="6" s="1"/>
  <c r="K181" i="6"/>
  <c r="L181" i="6" s="1"/>
  <c r="M181" i="6" s="1"/>
  <c r="K207" i="6"/>
  <c r="L207" i="6" s="1"/>
  <c r="M207" i="6" s="1"/>
  <c r="K304" i="6"/>
  <c r="L304" i="6" s="1"/>
  <c r="M304" i="6" s="1"/>
  <c r="K205" i="6"/>
  <c r="L205" i="6" s="1"/>
  <c r="M205" i="6" s="1"/>
  <c r="K4" i="6"/>
  <c r="L4" i="6" s="1"/>
  <c r="M4" i="6" s="1"/>
  <c r="K51" i="6"/>
  <c r="L51" i="6" s="1"/>
  <c r="M51" i="6" s="1"/>
  <c r="K256" i="6"/>
  <c r="L256" i="6" s="1"/>
  <c r="M256" i="6" s="1"/>
  <c r="K211" i="6"/>
  <c r="L211" i="6" s="1"/>
  <c r="M211" i="6" s="1"/>
  <c r="K63" i="6"/>
  <c r="L63" i="6" s="1"/>
  <c r="M63" i="6" s="1"/>
  <c r="K180" i="6"/>
  <c r="L180" i="6" s="1"/>
  <c r="M180" i="6" s="1"/>
  <c r="K215" i="6"/>
  <c r="L215" i="6" s="1"/>
  <c r="M215" i="6" s="1"/>
  <c r="K255" i="6"/>
  <c r="L255" i="6" s="1"/>
  <c r="M255" i="6" s="1"/>
  <c r="K7" i="6"/>
  <c r="L7" i="6" s="1"/>
  <c r="M7" i="6" s="1"/>
  <c r="K243" i="6"/>
  <c r="L243" i="6" s="1"/>
  <c r="M243" i="6" s="1"/>
  <c r="K263" i="6"/>
  <c r="L263" i="6" s="1"/>
  <c r="M263" i="6" s="1"/>
  <c r="K47" i="6"/>
  <c r="L47" i="6" s="1"/>
  <c r="M47" i="6" s="1"/>
  <c r="K133" i="6"/>
  <c r="L133" i="6" s="1"/>
  <c r="M133" i="6" s="1"/>
  <c r="K84" i="6"/>
  <c r="L84" i="6" s="1"/>
  <c r="M84" i="6" s="1"/>
  <c r="K26" i="6"/>
  <c r="L26" i="6" s="1"/>
  <c r="M26" i="6" s="1"/>
  <c r="K25" i="6"/>
  <c r="L25" i="6" s="1"/>
  <c r="M25" i="6" s="1"/>
  <c r="K292" i="6"/>
  <c r="L292" i="6" s="1"/>
  <c r="M292" i="6" s="1"/>
  <c r="K272" i="6"/>
  <c r="L272" i="6" s="1"/>
  <c r="M272" i="6" s="1"/>
  <c r="K90" i="6"/>
  <c r="L90" i="6" s="1"/>
  <c r="M90" i="6" s="1"/>
  <c r="K266" i="6"/>
  <c r="L266" i="6" s="1"/>
  <c r="M266" i="6" s="1"/>
  <c r="K74" i="6"/>
  <c r="L74" i="6" s="1"/>
  <c r="M74" i="6" s="1"/>
  <c r="K78" i="6"/>
  <c r="L78" i="6" s="1"/>
  <c r="M78" i="6" s="1"/>
  <c r="K2" i="6"/>
  <c r="L2" i="6" s="1"/>
  <c r="M2" i="6" s="1"/>
  <c r="K159" i="6"/>
  <c r="L159" i="6" s="1"/>
  <c r="M159" i="6" s="1"/>
  <c r="K305" i="6"/>
  <c r="L305" i="6" s="1"/>
  <c r="M305" i="6" s="1"/>
  <c r="K86" i="6"/>
  <c r="L86" i="6" s="1"/>
  <c r="M86" i="6" s="1"/>
  <c r="K201" i="6"/>
  <c r="L201" i="6" s="1"/>
  <c r="M201" i="6" s="1"/>
  <c r="K274" i="6"/>
  <c r="L274" i="6" s="1"/>
  <c r="M274" i="6" s="1"/>
  <c r="K235" i="6"/>
  <c r="L235" i="6" s="1"/>
  <c r="M235" i="6" s="1"/>
  <c r="K42" i="6"/>
  <c r="L42" i="6" s="1"/>
  <c r="M42" i="6" s="1"/>
  <c r="K316" i="6"/>
  <c r="L316" i="6" s="1"/>
  <c r="M316" i="6" s="1"/>
  <c r="K83" i="6"/>
  <c r="L83" i="6" s="1"/>
  <c r="M83" i="6" s="1"/>
  <c r="K95" i="6"/>
  <c r="L95" i="6" s="1"/>
  <c r="M95" i="6" s="1"/>
  <c r="K247" i="6"/>
  <c r="L247" i="6" s="1"/>
  <c r="M247" i="6" s="1"/>
  <c r="K269" i="6"/>
  <c r="L269" i="6" s="1"/>
  <c r="M269" i="6" s="1"/>
  <c r="K57" i="6"/>
  <c r="L57" i="6" s="1"/>
  <c r="M57" i="6" s="1"/>
  <c r="K65" i="6"/>
  <c r="L65" i="6" s="1"/>
  <c r="M65" i="6" s="1"/>
  <c r="K273" i="6"/>
  <c r="L273" i="6" s="1"/>
  <c r="M273" i="6" s="1"/>
  <c r="K311" i="6"/>
  <c r="L311" i="6" s="1"/>
  <c r="M311" i="6" s="1"/>
  <c r="K185" i="6"/>
  <c r="L185" i="6" s="1"/>
  <c r="M185" i="6" s="1"/>
  <c r="K204" i="6"/>
  <c r="L204" i="6" s="1"/>
  <c r="M204" i="6" s="1"/>
  <c r="K56" i="6"/>
  <c r="L56" i="6" s="1"/>
  <c r="M56" i="6" s="1"/>
  <c r="K140" i="6"/>
  <c r="L140" i="6" s="1"/>
  <c r="M140" i="6" s="1"/>
  <c r="K132" i="6"/>
  <c r="L132" i="6" s="1"/>
  <c r="M132" i="6" s="1"/>
  <c r="K239" i="6"/>
  <c r="L239" i="6" s="1"/>
  <c r="M239" i="6" s="1"/>
  <c r="K3" i="6"/>
  <c r="L3" i="6" s="1"/>
  <c r="M3" i="6" s="1"/>
  <c r="K214" i="6"/>
  <c r="L214" i="6" s="1"/>
  <c r="M214" i="6" s="1"/>
  <c r="K231" i="6"/>
  <c r="L231" i="6" s="1"/>
  <c r="M231" i="6" s="1"/>
  <c r="K150" i="6"/>
  <c r="L150" i="6" s="1"/>
  <c r="M150" i="6" s="1"/>
  <c r="K298" i="6"/>
  <c r="L298" i="6" s="1"/>
  <c r="M298" i="6" s="1"/>
  <c r="K307" i="6"/>
  <c r="L307" i="6" s="1"/>
  <c r="M307" i="6" s="1"/>
  <c r="K130" i="6"/>
  <c r="L130" i="6" s="1"/>
  <c r="M130" i="6" s="1"/>
  <c r="K97" i="6"/>
  <c r="L97" i="6" s="1"/>
  <c r="M97" i="6" s="1"/>
  <c r="K297" i="6"/>
  <c r="L297" i="6" s="1"/>
  <c r="M297" i="6" s="1"/>
  <c r="K108" i="6"/>
  <c r="L108" i="6" s="1"/>
  <c r="M108" i="6" s="1"/>
  <c r="K198" i="6"/>
  <c r="L198" i="6" s="1"/>
  <c r="M198" i="6" s="1"/>
  <c r="K281" i="6"/>
  <c r="L281" i="6" s="1"/>
  <c r="M281" i="6" s="1"/>
  <c r="K59" i="6"/>
  <c r="L59" i="6" s="1"/>
  <c r="M59" i="6" s="1"/>
  <c r="K248" i="6"/>
  <c r="L248" i="6" s="1"/>
  <c r="M248" i="6" s="1"/>
  <c r="K319" i="6"/>
  <c r="L319" i="6" s="1"/>
  <c r="M319" i="6" s="1"/>
  <c r="K238" i="6"/>
  <c r="L238" i="6" s="1"/>
  <c r="M238" i="6" s="1"/>
  <c r="K122" i="6"/>
  <c r="L122" i="6" s="1"/>
  <c r="M122" i="6" s="1"/>
  <c r="K302" i="6"/>
  <c r="L302" i="6" s="1"/>
  <c r="M302" i="6" s="1"/>
  <c r="K136" i="6"/>
  <c r="L136" i="6" s="1"/>
  <c r="M136" i="6" s="1"/>
  <c r="K252" i="6"/>
  <c r="L252" i="6" s="1"/>
  <c r="M252" i="6" s="1"/>
  <c r="K188" i="6"/>
  <c r="L188" i="6" s="1"/>
  <c r="M188" i="6" s="1"/>
  <c r="K100" i="6"/>
  <c r="L100" i="6" s="1"/>
  <c r="M100" i="6" s="1"/>
  <c r="K320" i="6"/>
  <c r="L320" i="6" s="1"/>
  <c r="M320" i="6" s="1"/>
  <c r="K237" i="6"/>
  <c r="L237" i="6" s="1"/>
  <c r="M237" i="6" s="1"/>
  <c r="K240" i="6"/>
  <c r="L240" i="6" s="1"/>
  <c r="M240" i="6" s="1"/>
  <c r="K20" i="6"/>
  <c r="L20" i="6" s="1"/>
  <c r="M20" i="6" s="1"/>
  <c r="K37" i="6"/>
  <c r="L37" i="6" s="1"/>
  <c r="M37" i="6" s="1"/>
  <c r="K183" i="6"/>
  <c r="L183" i="6" s="1"/>
  <c r="M183" i="6" s="1"/>
  <c r="K317" i="6"/>
  <c r="L317" i="6" s="1"/>
  <c r="M317" i="6" s="1"/>
  <c r="K24" i="6"/>
  <c r="L24" i="6" s="1"/>
  <c r="M24" i="6" s="1"/>
  <c r="K161" i="6"/>
  <c r="L161" i="6" s="1"/>
  <c r="M161" i="6" s="1"/>
  <c r="K43" i="6"/>
  <c r="L43" i="6" s="1"/>
  <c r="M43" i="6" s="1"/>
  <c r="K260" i="6"/>
  <c r="L260" i="6" s="1"/>
  <c r="M260" i="6" s="1"/>
  <c r="K69" i="6"/>
  <c r="L69" i="6" s="1"/>
  <c r="M69" i="6" s="1"/>
  <c r="K23" i="6"/>
  <c r="L23" i="6" s="1"/>
  <c r="M23" i="6" s="1"/>
  <c r="K315" i="6"/>
  <c r="L315" i="6" s="1"/>
  <c r="M315" i="6" s="1"/>
  <c r="K104" i="6"/>
  <c r="L104" i="6" s="1"/>
  <c r="M104" i="6" s="1"/>
  <c r="K286" i="6"/>
  <c r="L286" i="6" s="1"/>
  <c r="M286" i="6" s="1"/>
  <c r="K138" i="6"/>
  <c r="L138" i="6" s="1"/>
  <c r="M138" i="6" s="1"/>
  <c r="K245" i="6"/>
  <c r="L245" i="6" s="1"/>
  <c r="M245" i="6" s="1"/>
  <c r="K166" i="6"/>
  <c r="L166" i="6" s="1"/>
  <c r="M166" i="6" s="1"/>
  <c r="K28" i="6"/>
  <c r="L28" i="6" s="1"/>
  <c r="M28" i="6" s="1"/>
  <c r="K147" i="6"/>
  <c r="L147" i="6" s="1"/>
  <c r="M147" i="6" s="1"/>
  <c r="K41" i="6"/>
  <c r="L41" i="6" s="1"/>
  <c r="M41" i="6" s="1"/>
  <c r="K32" i="6"/>
  <c r="L32" i="6" s="1"/>
  <c r="M32" i="6" s="1"/>
  <c r="K155" i="6"/>
  <c r="L155" i="6" s="1"/>
  <c r="M155" i="6" s="1"/>
  <c r="K113" i="6"/>
  <c r="L113" i="6" s="1"/>
  <c r="M113" i="6" s="1"/>
  <c r="K18" i="6"/>
  <c r="L18" i="6" s="1"/>
  <c r="M18" i="6" s="1"/>
  <c r="K253" i="6"/>
  <c r="L253" i="6" s="1"/>
  <c r="M253" i="6" s="1"/>
  <c r="K300" i="6"/>
  <c r="L300" i="6" s="1"/>
  <c r="M300" i="6" s="1"/>
  <c r="K225" i="6"/>
  <c r="L225" i="6" s="1"/>
  <c r="M225" i="6" s="1"/>
  <c r="K257" i="6"/>
  <c r="L257" i="6" s="1"/>
  <c r="M257" i="6" s="1"/>
  <c r="K217" i="6"/>
  <c r="L217" i="6" s="1"/>
  <c r="M217" i="6" s="1"/>
  <c r="K264" i="6"/>
  <c r="L264" i="6" s="1"/>
  <c r="M264" i="6" s="1"/>
  <c r="K203" i="6"/>
  <c r="L203" i="6" s="1"/>
  <c r="M203" i="6" s="1"/>
  <c r="K71" i="6"/>
  <c r="L71" i="6" s="1"/>
  <c r="M71" i="6" s="1"/>
  <c r="K96" i="6"/>
  <c r="L96" i="6" s="1"/>
  <c r="M96" i="6" s="1"/>
  <c r="K177" i="6"/>
  <c r="L177" i="6" s="1"/>
  <c r="M177" i="6" s="1"/>
  <c r="K195" i="6"/>
  <c r="L195" i="6" s="1"/>
  <c r="M195" i="6" s="1"/>
  <c r="K52" i="6"/>
  <c r="L52" i="6" s="1"/>
  <c r="M52" i="6" s="1"/>
  <c r="K146" i="6"/>
  <c r="L146" i="6" s="1"/>
  <c r="M146" i="6" s="1"/>
  <c r="K227" i="6"/>
  <c r="L227" i="6" s="1"/>
  <c r="M227" i="6" s="1"/>
  <c r="K193" i="6"/>
  <c r="L193" i="6" s="1"/>
  <c r="M193" i="6" s="1"/>
  <c r="K124" i="6"/>
  <c r="L124" i="6" s="1"/>
  <c r="M124" i="6" s="1"/>
  <c r="K219" i="6"/>
  <c r="L219" i="6" s="1"/>
  <c r="M219" i="6" s="1"/>
  <c r="K58" i="6"/>
  <c r="L58" i="6" s="1"/>
  <c r="M58" i="6" s="1"/>
  <c r="K174" i="6"/>
  <c r="L174" i="6" s="1"/>
  <c r="M174" i="6" s="1"/>
  <c r="K115" i="6"/>
  <c r="L115" i="6" s="1"/>
  <c r="M115" i="6" s="1"/>
  <c r="K50" i="6"/>
  <c r="L50" i="6" s="1"/>
  <c r="M50" i="6" s="1"/>
  <c r="K293" i="6"/>
  <c r="L293" i="6" s="1"/>
  <c r="M293" i="6" s="1"/>
  <c r="K283" i="6"/>
  <c r="L283" i="6" s="1"/>
  <c r="M283" i="6" s="1"/>
  <c r="K30" i="6"/>
  <c r="L30" i="6" s="1"/>
  <c r="M30" i="6" s="1"/>
  <c r="K310" i="6"/>
  <c r="L310" i="6" s="1"/>
  <c r="M310" i="6" s="1"/>
  <c r="K101" i="6"/>
  <c r="L101" i="6" s="1"/>
  <c r="M101" i="6" s="1"/>
  <c r="K127" i="6"/>
  <c r="L127" i="6" s="1"/>
  <c r="M127" i="6" s="1"/>
  <c r="K265" i="6"/>
  <c r="L265" i="6" s="1"/>
  <c r="M265" i="6" s="1"/>
  <c r="K77" i="6"/>
  <c r="L77" i="6" s="1"/>
  <c r="M77" i="6" s="1"/>
  <c r="K117" i="6"/>
  <c r="L117" i="6" s="1"/>
  <c r="M117" i="6" s="1"/>
  <c r="K170" i="6"/>
  <c r="L170" i="6" s="1"/>
  <c r="M170" i="6" s="1"/>
  <c r="K119" i="6"/>
  <c r="L119" i="6" s="1"/>
  <c r="M119" i="6" s="1"/>
  <c r="K34" i="6"/>
  <c r="L34" i="6" s="1"/>
  <c r="M34" i="6" s="1"/>
  <c r="K288" i="6"/>
  <c r="L288" i="6" s="1"/>
  <c r="M288" i="6" s="1"/>
  <c r="K187" i="6"/>
  <c r="L187" i="6" s="1"/>
  <c r="M187" i="6" s="1"/>
  <c r="K234" i="6"/>
  <c r="L234" i="6" s="1"/>
  <c r="M234" i="6" s="1"/>
  <c r="K98" i="6"/>
  <c r="L98" i="6" s="1"/>
  <c r="M98" i="6" s="1"/>
  <c r="K142" i="6"/>
  <c r="L142" i="6" s="1"/>
  <c r="M142" i="6" s="1"/>
  <c r="K153" i="6"/>
  <c r="L153" i="6" s="1"/>
  <c r="M153" i="6" s="1"/>
  <c r="K163" i="6"/>
  <c r="L163" i="6" s="1"/>
  <c r="M163" i="6" s="1"/>
  <c r="K285" i="6"/>
  <c r="L285" i="6" s="1"/>
  <c r="M285" i="6" s="1"/>
  <c r="K213" i="6"/>
  <c r="L213" i="6" s="1"/>
  <c r="M213" i="6" s="1"/>
  <c r="K275" i="6"/>
  <c r="L275" i="6" s="1"/>
  <c r="M275" i="6" s="1"/>
  <c r="K194" i="6"/>
  <c r="L194" i="6" s="1"/>
  <c r="M194" i="6" s="1"/>
  <c r="K179" i="6"/>
  <c r="L179" i="6" s="1"/>
  <c r="M179" i="6" s="1"/>
  <c r="K173" i="6"/>
  <c r="L173" i="6" s="1"/>
  <c r="M173" i="6" s="1"/>
  <c r="K156" i="6"/>
  <c r="L156" i="6" s="1"/>
  <c r="M156" i="6" s="1"/>
  <c r="K112" i="6"/>
  <c r="L112" i="6" s="1"/>
  <c r="M112" i="6" s="1"/>
  <c r="K232" i="6"/>
  <c r="L232" i="6" s="1"/>
  <c r="M232" i="6" s="1"/>
  <c r="K303" i="6"/>
  <c r="L303" i="6" s="1"/>
  <c r="M303" i="6" s="1"/>
  <c r="K190" i="6"/>
  <c r="L190" i="6" s="1"/>
  <c r="M190" i="6" s="1"/>
  <c r="K282" i="6"/>
  <c r="L282" i="6" s="1"/>
  <c r="M282" i="6" s="1"/>
  <c r="K218" i="6"/>
  <c r="L218" i="6" s="1"/>
  <c r="M218" i="6" s="1"/>
  <c r="K116" i="6"/>
  <c r="L116" i="6" s="1"/>
  <c r="M116" i="6" s="1"/>
  <c r="K49" i="6"/>
  <c r="L49" i="6" s="1"/>
  <c r="M49" i="6" s="1"/>
  <c r="K48" i="6"/>
  <c r="L48" i="6" s="1"/>
  <c r="M48" i="6" s="1"/>
  <c r="K139" i="6"/>
  <c r="L139" i="6" s="1"/>
  <c r="M139" i="6" s="1"/>
  <c r="K178" i="6"/>
  <c r="L178" i="6" s="1"/>
  <c r="M178" i="6" s="1"/>
  <c r="K13" i="6"/>
  <c r="L13" i="6" s="1"/>
  <c r="M13" i="6" s="1"/>
  <c r="K296" i="6"/>
  <c r="L296" i="6" s="1"/>
  <c r="M296" i="6" s="1"/>
  <c r="K102" i="6"/>
  <c r="L102" i="6" s="1"/>
  <c r="M102" i="6" s="1"/>
  <c r="K87" i="6"/>
  <c r="L87" i="6" s="1"/>
  <c r="M87" i="6" s="1"/>
  <c r="K318" i="6"/>
  <c r="L318" i="6" s="1"/>
  <c r="M318" i="6" s="1"/>
  <c r="K88" i="6"/>
  <c r="L88" i="6" s="1"/>
  <c r="M88" i="6" s="1"/>
  <c r="K314" i="6"/>
  <c r="L314" i="6" s="1"/>
  <c r="M314" i="6" s="1"/>
  <c r="K38" i="6"/>
  <c r="L38" i="6" s="1"/>
  <c r="M38" i="6" s="1"/>
  <c r="K61" i="6"/>
  <c r="L61" i="6" s="1"/>
  <c r="M61" i="6" s="1"/>
  <c r="K106" i="6"/>
  <c r="L106" i="6" s="1"/>
  <c r="M106" i="6" s="1"/>
  <c r="K290" i="6"/>
  <c r="L290" i="6" s="1"/>
  <c r="M290" i="6" s="1"/>
  <c r="K21" i="6"/>
  <c r="L21" i="6" s="1"/>
  <c r="M21" i="6" s="1"/>
  <c r="K12" i="6"/>
  <c r="L12" i="6" s="1"/>
  <c r="M12" i="6" s="1"/>
  <c r="K212" i="6"/>
  <c r="L212" i="6" s="1"/>
  <c r="M212" i="6" s="1"/>
  <c r="K17" i="6"/>
  <c r="L17" i="6" s="1"/>
  <c r="M17" i="6" s="1"/>
  <c r="K134" i="6"/>
  <c r="L134" i="6" s="1"/>
  <c r="M134" i="6" s="1"/>
  <c r="K152" i="6"/>
  <c r="L152" i="6" s="1"/>
  <c r="M152" i="6" s="1"/>
  <c r="K271" i="6"/>
  <c r="L271" i="6" s="1"/>
  <c r="M271" i="6" s="1"/>
  <c r="K278" i="6"/>
  <c r="L278" i="6" s="1"/>
  <c r="M278" i="6" s="1"/>
  <c r="K165" i="6"/>
  <c r="L165" i="6" s="1"/>
  <c r="M165" i="6" s="1"/>
  <c r="K220" i="6"/>
  <c r="L220" i="6" s="1"/>
  <c r="M220" i="6" s="1"/>
  <c r="K206" i="6"/>
  <c r="L206" i="6" s="1"/>
  <c r="M206" i="6" s="1"/>
  <c r="K103" i="6"/>
  <c r="L103" i="6" s="1"/>
  <c r="M103" i="6" s="1"/>
  <c r="K249" i="6"/>
  <c r="L249" i="6" s="1"/>
  <c r="M249" i="6" s="1"/>
  <c r="K143" i="6"/>
  <c r="L143" i="6" s="1"/>
  <c r="M143" i="6" s="1"/>
  <c r="K208" i="6"/>
  <c r="L208" i="6" s="1"/>
  <c r="M208" i="6" s="1"/>
  <c r="K169" i="6"/>
  <c r="L169" i="6" s="1"/>
  <c r="M169" i="6" s="1"/>
  <c r="K158" i="6"/>
  <c r="L158" i="6" s="1"/>
  <c r="M158" i="6" s="1"/>
  <c r="K72" i="6"/>
  <c r="L72" i="6" s="1"/>
  <c r="M72" i="6" s="1"/>
  <c r="K236" i="6"/>
  <c r="L236" i="6" s="1"/>
  <c r="M236" i="6" s="1"/>
  <c r="K176" i="6"/>
  <c r="L176" i="6" s="1"/>
  <c r="M176" i="6" s="1"/>
  <c r="K67" i="6"/>
  <c r="L67" i="6" s="1"/>
  <c r="M67" i="6" s="1"/>
  <c r="K233" i="6"/>
  <c r="L233" i="6" s="1"/>
  <c r="M233" i="6" s="1"/>
  <c r="K39" i="6"/>
  <c r="L39" i="6" s="1"/>
  <c r="M39" i="6" s="1"/>
  <c r="K291" i="6"/>
  <c r="L291" i="6" s="1"/>
  <c r="M291" i="6" s="1"/>
  <c r="K64" i="6"/>
  <c r="L64" i="6" s="1"/>
  <c r="M64" i="6" s="1"/>
  <c r="K246" i="6"/>
  <c r="L246" i="6" s="1"/>
  <c r="M246" i="6" s="1"/>
  <c r="K289" i="6"/>
  <c r="L289" i="6" s="1"/>
  <c r="M289" i="6" s="1"/>
  <c r="K313" i="6"/>
  <c r="L313" i="6" s="1"/>
  <c r="M313" i="6" s="1"/>
  <c r="K222" i="6"/>
  <c r="L222" i="6" s="1"/>
  <c r="M222" i="6" s="1"/>
  <c r="K196" i="6"/>
  <c r="L196" i="6" s="1"/>
  <c r="M196" i="6" s="1"/>
  <c r="K10" i="6"/>
  <c r="L10" i="6" s="1"/>
  <c r="M10" i="6" s="1"/>
  <c r="K75" i="6"/>
  <c r="L75" i="6" s="1"/>
  <c r="M75" i="6" s="1"/>
  <c r="K79" i="6"/>
  <c r="L79" i="6" s="1"/>
  <c r="M79" i="6" s="1"/>
  <c r="K135" i="6"/>
  <c r="L135" i="6" s="1"/>
  <c r="M135" i="6" s="1"/>
  <c r="K175" i="6"/>
  <c r="L175" i="6" s="1"/>
  <c r="M175" i="6" s="1"/>
  <c r="K186" i="6"/>
  <c r="L186" i="6" s="1"/>
  <c r="M186" i="6" s="1"/>
  <c r="K123" i="6"/>
  <c r="L123" i="6" s="1"/>
  <c r="M123" i="6" s="1"/>
  <c r="K107" i="6"/>
  <c r="L107" i="6" s="1"/>
  <c r="M107" i="6" s="1"/>
  <c r="K224" i="6"/>
  <c r="L224" i="6" s="1"/>
  <c r="M224" i="6" s="1"/>
  <c r="K200" i="6"/>
  <c r="L200" i="6" s="1"/>
  <c r="M200" i="6" s="1"/>
  <c r="K73" i="6"/>
  <c r="L73" i="6" s="1"/>
  <c r="M73" i="6" s="1"/>
  <c r="K137" i="6"/>
  <c r="L137" i="6" s="1"/>
  <c r="M137" i="6" s="1"/>
  <c r="K210" i="6"/>
  <c r="L210" i="6" s="1"/>
  <c r="M210" i="6" s="1"/>
  <c r="K129" i="6"/>
  <c r="L129" i="6" s="1"/>
  <c r="M129" i="6" s="1"/>
  <c r="K157" i="6"/>
  <c r="L157" i="6" s="1"/>
  <c r="M157" i="6" s="1"/>
  <c r="K229" i="6"/>
  <c r="L229" i="6" s="1"/>
  <c r="M229" i="6" s="1"/>
  <c r="K99" i="6"/>
  <c r="L99" i="6" s="1"/>
  <c r="M99" i="6" s="1"/>
  <c r="K299" i="6"/>
  <c r="L299" i="6" s="1"/>
  <c r="M299" i="6" s="1"/>
  <c r="K216" i="6"/>
  <c r="L216" i="6" s="1"/>
  <c r="M216" i="6" s="1"/>
  <c r="K36" i="6"/>
  <c r="L36" i="6" s="1"/>
  <c r="M36" i="6" s="1"/>
  <c r="K308" i="6"/>
  <c r="L308" i="6" s="1"/>
  <c r="M308" i="6" s="1"/>
  <c r="K197" i="6"/>
  <c r="L197" i="6" s="1"/>
  <c r="M197" i="6" s="1"/>
  <c r="K128" i="6"/>
  <c r="L128" i="6" s="1"/>
  <c r="M128" i="6" s="1"/>
  <c r="K267" i="6"/>
  <c r="L267" i="6" s="1"/>
  <c r="M267" i="6" s="1"/>
  <c r="K167" i="6"/>
  <c r="L167" i="6" s="1"/>
  <c r="M167" i="6" s="1"/>
  <c r="K151" i="6"/>
  <c r="L151" i="6" s="1"/>
  <c r="M151" i="6" s="1"/>
  <c r="K301" i="6"/>
  <c r="L301" i="6" s="1"/>
  <c r="M301" i="6" s="1"/>
  <c r="K209" i="6"/>
  <c r="L209" i="6" s="1"/>
  <c r="M209" i="6" s="1"/>
  <c r="K118" i="6"/>
  <c r="L118" i="6" s="1"/>
  <c r="M118" i="6" s="1"/>
  <c r="K251" i="6"/>
  <c r="L251" i="6" s="1"/>
  <c r="M251" i="6" s="1"/>
  <c r="K242" i="6"/>
  <c r="L242" i="6" s="1"/>
  <c r="M242" i="6" s="1"/>
  <c r="K270" i="6"/>
  <c r="L270" i="6" s="1"/>
  <c r="M270" i="6" s="1"/>
  <c r="K11" i="6"/>
  <c r="L11" i="6" s="1"/>
  <c r="M11" i="6" s="1"/>
  <c r="K276" i="6"/>
  <c r="L276" i="6" s="1"/>
  <c r="M276" i="6" s="1"/>
  <c r="K126" i="6"/>
  <c r="L126" i="6" s="1"/>
  <c r="M126" i="6" s="1"/>
  <c r="K14" i="6"/>
  <c r="L14" i="6" s="1"/>
  <c r="M14" i="6" s="1"/>
  <c r="K162" i="6"/>
  <c r="L162" i="6" s="1"/>
  <c r="M162" i="6" s="1"/>
  <c r="K244" i="6"/>
  <c r="L244" i="6" s="1"/>
  <c r="M244" i="6" s="1"/>
  <c r="K91" i="6"/>
  <c r="L91" i="6" s="1"/>
  <c r="M91" i="6" s="1"/>
  <c r="K306" i="6"/>
  <c r="L306" i="6" s="1"/>
  <c r="M306" i="6" s="1"/>
  <c r="K19" i="6"/>
  <c r="L19" i="6" s="1"/>
  <c r="M19" i="6" s="1"/>
  <c r="K261" i="6"/>
  <c r="L261" i="6" s="1"/>
  <c r="M261" i="6" s="1"/>
  <c r="K171" i="6"/>
  <c r="L171" i="6" s="1"/>
  <c r="M171" i="6" s="1"/>
  <c r="K120" i="6"/>
  <c r="L120" i="6" s="1"/>
  <c r="M120" i="6" s="1"/>
  <c r="K35" i="6"/>
  <c r="L35" i="6" s="1"/>
  <c r="M35" i="6" s="1"/>
  <c r="K66" i="6"/>
  <c r="L66" i="6" s="1"/>
  <c r="M66" i="6" s="1"/>
  <c r="K221" i="6"/>
  <c r="L221" i="6" s="1"/>
  <c r="M221" i="6" s="1"/>
  <c r="K144" i="6"/>
  <c r="L144" i="6" s="1"/>
  <c r="M144" i="6" s="1"/>
  <c r="K160" i="6"/>
  <c r="L160" i="6" s="1"/>
  <c r="M160" i="6" s="1"/>
  <c r="K168" i="6"/>
  <c r="L168" i="6" s="1"/>
  <c r="M168" i="6" s="1"/>
  <c r="K192" i="6"/>
  <c r="L192" i="6" s="1"/>
  <c r="M192" i="6" s="1"/>
  <c r="K148" i="6"/>
  <c r="L148" i="6" s="1"/>
  <c r="M148" i="6" s="1"/>
  <c r="K268" i="6"/>
  <c r="L268" i="6" s="1"/>
  <c r="M268" i="6" s="1"/>
  <c r="K110" i="6"/>
  <c r="L110" i="6" s="1"/>
  <c r="M110" i="6" s="1"/>
  <c r="K321" i="6"/>
  <c r="L321" i="6" s="1"/>
  <c r="M321" i="6" s="1"/>
  <c r="K189" i="6"/>
  <c r="L189" i="6" s="1"/>
  <c r="M189" i="6" s="1"/>
  <c r="K54" i="6"/>
  <c r="L54" i="6" s="1"/>
  <c r="M54" i="6" s="1"/>
  <c r="K172" i="6"/>
  <c r="L172" i="6" s="1"/>
  <c r="M172" i="6" s="1"/>
  <c r="K154" i="6"/>
  <c r="L154" i="6" s="1"/>
  <c r="M154" i="6" s="1"/>
  <c r="K223" i="6"/>
  <c r="L223" i="6" s="1"/>
  <c r="M223" i="6" s="1"/>
  <c r="K121" i="6"/>
  <c r="L121" i="6" s="1"/>
  <c r="M121" i="6" s="1"/>
  <c r="K309" i="6"/>
  <c r="L309" i="6" s="1"/>
  <c r="M309" i="6" s="1"/>
  <c r="K68" i="6"/>
  <c r="L68" i="6" s="1"/>
  <c r="M68" i="6" s="1"/>
  <c r="K15" i="6"/>
  <c r="L15" i="6" s="1"/>
  <c r="M15" i="6" s="1"/>
  <c r="K80" i="6"/>
  <c r="L80" i="6" s="1"/>
  <c r="M80" i="6" s="1"/>
  <c r="K131" i="6"/>
  <c r="L131" i="6" s="1"/>
  <c r="M131" i="6" s="1"/>
  <c r="K125" i="6"/>
  <c r="L125" i="6" s="1"/>
  <c r="M125" i="6" s="1"/>
  <c r="K287" i="6"/>
  <c r="L287" i="6" s="1"/>
  <c r="M287" i="6" s="1"/>
  <c r="K262" i="6"/>
  <c r="L262" i="6" s="1"/>
  <c r="M262" i="6" s="1"/>
  <c r="K8" i="6"/>
  <c r="L8" i="6" s="1"/>
  <c r="M8" i="6" s="1"/>
  <c r="K284" i="6"/>
  <c r="L284" i="6" s="1"/>
  <c r="M284" i="6" s="1"/>
  <c r="K33" i="6"/>
  <c r="L33" i="6" s="1"/>
  <c r="M33" i="6" s="1"/>
  <c r="K85" i="6"/>
  <c r="L85" i="6" s="1"/>
  <c r="M85" i="6" s="1"/>
  <c r="K44" i="6"/>
  <c r="L44" i="6" s="1"/>
  <c r="M44" i="6" s="1"/>
  <c r="K92" i="6"/>
  <c r="L92" i="6" s="1"/>
  <c r="M92" i="6" s="1"/>
  <c r="K202" i="6"/>
  <c r="L202" i="6" s="1"/>
  <c r="M202" i="6" s="1"/>
  <c r="K254" i="6"/>
  <c r="L254" i="6" s="1"/>
  <c r="M254" i="6" s="1"/>
  <c r="K76" i="6"/>
  <c r="L76" i="6" s="1"/>
  <c r="M76" i="6" s="1"/>
  <c r="K250" i="6"/>
  <c r="L250" i="6" s="1"/>
  <c r="M250" i="6" s="1"/>
  <c r="K258" i="6"/>
  <c r="L258" i="6" s="1"/>
  <c r="M258" i="6" s="1"/>
  <c r="K55" i="6"/>
  <c r="L55" i="6" s="1"/>
  <c r="M55" i="6" s="1"/>
  <c r="K241" i="6"/>
  <c r="L241" i="6" s="1"/>
  <c r="M241" i="6" s="1"/>
  <c r="K199" i="6"/>
  <c r="L199" i="6" s="1"/>
  <c r="M199" i="6" s="1"/>
  <c r="K89" i="6"/>
  <c r="L89" i="6" s="1"/>
  <c r="M89" i="6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" i="3"/>
  <c r="A19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</calcChain>
</file>

<file path=xl/sharedStrings.xml><?xml version="1.0" encoding="utf-8"?>
<sst xmlns="http://schemas.openxmlformats.org/spreadsheetml/2006/main" count="2112" uniqueCount="176">
  <si>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</si>
  <si>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</si>
  <si>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</si>
  <si>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</si>
  <si>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</si>
  <si>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</si>
  <si>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</si>
  <si>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</si>
  <si>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</si>
  <si>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</si>
  <si>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</si>
  <si>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</si>
  <si>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</si>
  <si>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</si>
  <si>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</si>
  <si>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</si>
  <si>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</si>
  <si>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</si>
  <si>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</si>
  <si>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</si>
  <si>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</si>
  <si>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</si>
  <si>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</si>
  <si>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</si>
  <si>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</si>
  <si>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</si>
  <si>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</si>
  <si>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</si>
  <si>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</si>
  <si>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</si>
  <si>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</si>
  <si>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</si>
  <si>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</si>
  <si>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</si>
  <si>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</si>
  <si>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</si>
  <si>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</si>
  <si>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</si>
  <si>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</si>
  <si>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</si>
  <si>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</si>
  <si>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</si>
  <si>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</si>
  <si>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</si>
  <si>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</si>
  <si>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</si>
  <si>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</si>
  <si>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</si>
  <si>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</si>
  <si>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</si>
  <si>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</si>
  <si>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</si>
  <si>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</si>
  <si>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</si>
  <si>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</si>
  <si>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</si>
  <si>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</si>
  <si>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</si>
  <si>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</si>
  <si>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</si>
  <si>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</si>
  <si>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</si>
  <si>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</si>
  <si>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</si>
  <si>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</si>
  <si>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</si>
  <si>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</si>
  <si>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</si>
  <si>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</si>
  <si>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</si>
  <si>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</si>
  <si>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</si>
  <si>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</si>
  <si>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</si>
  <si>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</si>
  <si>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</si>
  <si>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</si>
  <si>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</si>
  <si>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</si>
  <si>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</si>
  <si>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</si>
  <si>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</si>
  <si>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</si>
  <si>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</si>
  <si>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</si>
  <si>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</si>
  <si>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</si>
  <si>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</si>
  <si>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</si>
  <si>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</si>
  <si>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</si>
  <si>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</si>
  <si>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</si>
  <si>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</si>
  <si>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</si>
  <si>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</si>
  <si>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</si>
  <si>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</si>
  <si>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</si>
  <si>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</si>
  <si>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</si>
  <si>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</si>
  <si>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competitor_distance_km_cleaned</t>
  </si>
  <si>
    <t>customer_rating_cleaned</t>
  </si>
  <si>
    <t>Region_North</t>
  </si>
  <si>
    <t>Region_South</t>
  </si>
  <si>
    <t>Region_East</t>
  </si>
  <si>
    <t>DUMMY VARIABLES FOR REGION CATEGORY</t>
  </si>
  <si>
    <t>DUMMY VARIABLES FOR STORE_TYPE CATEGORY</t>
  </si>
  <si>
    <t>Store_Airport</t>
  </si>
  <si>
    <t>Store_HighStreet</t>
  </si>
  <si>
    <t>Store_Residential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</si>
  <si>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</si>
  <si>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</si>
  <si>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</si>
  <si>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</si>
  <si>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</si>
  <si>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</si>
  <si>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</si>
  <si>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</si>
  <si>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</si>
  <si>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</si>
  <si>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</si>
  <si>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</si>
  <si>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</si>
  <si>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</si>
  <si>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</si>
  <si>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</si>
  <si>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</si>
  <si>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</si>
  <si>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</si>
  <si>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</si>
  <si>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</si>
  <si>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</si>
  <si>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</si>
  <si>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</si>
  <si>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</si>
  <si>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</si>
  <si>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</si>
  <si>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</si>
  <si>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Dummy Variable Notes</t>
  </si>
  <si>
    <t>Region Reference Category</t>
  </si>
  <si>
    <t>Store Type Reference Category</t>
  </si>
  <si>
    <t>SIMPLE REGRESSION MODEL 1</t>
  </si>
  <si>
    <t>Dependent Variable</t>
  </si>
  <si>
    <t>Independent Variable</t>
  </si>
  <si>
    <t>SIMPLE REGRESSION MODEL 2</t>
  </si>
  <si>
    <t>Monthly_Sales</t>
  </si>
  <si>
    <t>Footfall</t>
  </si>
  <si>
    <t>MULTIPLE REGRESSION</t>
  </si>
  <si>
    <t>Model Name</t>
  </si>
  <si>
    <t>Variables Used</t>
  </si>
  <si>
    <t>R²</t>
  </si>
  <si>
    <t>Key Significant Variables (p &lt; 0.05)</t>
  </si>
  <si>
    <t>Business Interpretation</t>
  </si>
  <si>
    <t>Limitations</t>
  </si>
  <si>
    <t>Final Verdict</t>
  </si>
  <si>
    <t>Simple Regression Model 1</t>
  </si>
  <si>
    <t>Simple Regression Model 2</t>
  </si>
  <si>
    <t>Final Multiple Regression Model</t>
  </si>
  <si>
    <t>3 Numerical Predictors + 3 Region Dummies + 3 Store Type Dummies</t>
  </si>
  <si>
    <t>marketing_spend, footfall, inventory_availability_pct, Region_East, Store_Residential</t>
  </si>
  <si>
    <t>monthly_sales ~ marketing_spend</t>
  </si>
  <si>
    <t>Marketing spend has a positive impact on sales, but alone it explains only 16.7% of sales variation. Many other factors influence store performance.</t>
  </si>
  <si>
    <t>Ignores customer traffic, inventory levels, region, and store characteristics.</t>
  </si>
  <si>
    <t>Weak model; useful only for understanding marketing impact.</t>
  </si>
  <si>
    <t>monthly_sales ~ footfall</t>
  </si>
  <si>
    <t>Footfall is strongly associated with monthly sales. Stores with higher customer traffic generally generate higher revenue.</t>
  </si>
  <si>
    <t>Does not account for operational or location-based factors.</t>
  </si>
  <si>
    <t>Strong predictor but incomplete model.</t>
  </si>
  <si>
    <t>Selected as the final model because it has the highest explanatory power and strongest business applicability.</t>
  </si>
  <si>
    <t>This model explains 82.7% of the variation in monthly sales. It captures both categorical and numerical independent variables, making it the most useful model for business decision-making.</t>
  </si>
  <si>
    <t>Predicted_Sales</t>
  </si>
  <si>
    <t>Absolute_Residual</t>
  </si>
  <si>
    <t>Actual monthly_sales</t>
  </si>
  <si>
    <t>Regression identifies associations but cannot automatically prove causation. Some dummy variables are not statistically significant. External factors such as competition, economic conditions, and promotions are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</si>
</sst>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"/>
    <numFmt numFmtId="165" formatCode="0.0000"/>
    <numFmt numFmtId="166" formatCode="0.000"/>
    <numFmt numFmtId="167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0" xfId="0" applyFont="1" applyFill="1" applyBorder="1"/>
    <xf numFmtId="0" fontId="0" fillId="0" borderId="11" xfId="0" applyBorder="1"/>
    <xf numFmtId="0" fontId="0" fillId="0" borderId="12" xfId="0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5" borderId="6" xfId="0" applyFont="1" applyFill="1" applyBorder="1"/>
    <xf numFmtId="0" fontId="1" fillId="5" borderId="9" xfId="0" applyFont="1" applyFill="1" applyBorder="1"/>
    <xf numFmtId="0" fontId="7" fillId="5" borderId="5" xfId="0" applyFont="1" applyFill="1" applyBorder="1"/>
    <xf numFmtId="0" fontId="7" fillId="5" borderId="7" xfId="0" applyFont="1" applyFill="1" applyBorder="1"/>
    <xf numFmtId="0" fontId="4" fillId="6" borderId="2" xfId="0" applyFont="1" applyFill="1" applyBorder="1"/>
    <xf numFmtId="0" fontId="0" fillId="6" borderId="4" xfId="0" applyFill="1" applyBorder="1"/>
    <xf numFmtId="0" fontId="1" fillId="0" borderId="6" xfId="0" applyFont="1" applyBorder="1"/>
    <xf numFmtId="0" fontId="1" fillId="0" borderId="9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6" fontId="0" fillId="0" borderId="1" xfId="0" applyNumberFormat="1" applyBorder="1"/>
    <xf numFmtId="166" fontId="0" fillId="0" borderId="6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0" fontId="3" fillId="7" borderId="2" xfId="0" applyFont="1" applyFill="1" applyBorder="1" applyAlignment="1">
      <alignment horizontal="centerContinuous"/>
    </xf>
    <xf numFmtId="0" fontId="3" fillId="7" borderId="4" xfId="0" applyFont="1" applyFill="1" applyBorder="1" applyAlignment="1">
      <alignment horizontal="centerContinuous"/>
    </xf>
    <xf numFmtId="0" fontId="4" fillId="7" borderId="0" xfId="0" applyFont="1" applyFill="1"/>
    <xf numFmtId="0" fontId="1" fillId="0" borderId="5" xfId="0" applyFont="1" applyBorder="1"/>
    <xf numFmtId="0" fontId="1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0" fillId="0" borderId="8" xfId="0" applyNumberFormat="1" applyBorder="1"/>
    <xf numFmtId="165" fontId="0" fillId="0" borderId="9" xfId="0" applyNumberFormat="1" applyBorder="1"/>
    <xf numFmtId="0" fontId="4" fillId="8" borderId="0" xfId="0" applyFont="1" applyFill="1"/>
    <xf numFmtId="0" fontId="0" fillId="7" borderId="0" xfId="0" applyFill="1"/>
    <xf numFmtId="0" fontId="5" fillId="7" borderId="0" xfId="0" applyFont="1" applyFill="1"/>
    <xf numFmtId="0" fontId="1" fillId="9" borderId="2" xfId="0" applyFont="1" applyFill="1" applyBorder="1"/>
    <xf numFmtId="0" fontId="1" fillId="9" borderId="4" xfId="0" applyFont="1" applyFill="1" applyBorder="1"/>
    <xf numFmtId="0" fontId="1" fillId="9" borderId="7" xfId="0" applyFont="1" applyFill="1" applyBorder="1"/>
    <xf numFmtId="0" fontId="1" fillId="9" borderId="9" xfId="0" applyFont="1" applyFill="1" applyBorder="1"/>
    <xf numFmtId="0" fontId="8" fillId="7" borderId="0" xfId="0" applyFont="1" applyFill="1"/>
    <xf numFmtId="0" fontId="1" fillId="0" borderId="2" xfId="0" applyFont="1" applyBorder="1"/>
    <xf numFmtId="0" fontId="1" fillId="0" borderId="4" xfId="0" applyFont="1" applyBorder="1"/>
    <xf numFmtId="0" fontId="0" fillId="0" borderId="14" xfId="0" applyBorder="1"/>
    <xf numFmtId="0" fontId="2" fillId="10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0" xfId="0" applyFont="1" applyFill="1"/>
    <xf numFmtId="0" fontId="4" fillId="7" borderId="2" xfId="0" applyFont="1" applyFill="1" applyBorder="1" applyAlignment="1">
      <alignment horizontal="centerContinuous"/>
    </xf>
    <xf numFmtId="0" fontId="7" fillId="7" borderId="4" xfId="0" applyFont="1" applyFill="1" applyBorder="1" applyAlignment="1">
      <alignment horizontal="centerContinuous"/>
    </xf>
    <xf numFmtId="0" fontId="3" fillId="0" borderId="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4" fillId="7" borderId="15" xfId="0" applyFont="1" applyFill="1" applyBorder="1"/>
    <xf numFmtId="0" fontId="6" fillId="7" borderId="15" xfId="0" applyFont="1" applyFill="1" applyBorder="1"/>
    <xf numFmtId="0" fontId="6" fillId="11" borderId="17" xfId="0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0" fontId="1" fillId="12" borderId="20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0" fillId="12" borderId="22" xfId="0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 wrapText="1"/>
    </xf>
    <xf numFmtId="166" fontId="1" fillId="0" borderId="6" xfId="0" applyNumberFormat="1" applyFont="1" applyBorder="1"/>
    <xf numFmtId="2" fontId="1" fillId="0" borderId="6" xfId="0" applyNumberFormat="1" applyFont="1" applyBorder="1"/>
    <xf numFmtId="0" fontId="8" fillId="0" borderId="13" xfId="0" applyFont="1" applyBorder="1" applyAlignment="1">
      <alignment horizontal="left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5" tint="0.79998168889431442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5FC209-6F4F-4964-A74B-0A9380E9349B}" name="Table1" displayName="Table1" ref="A2:G7" totalsRowShown="0" headerRowDxfId="10" headerRowBorderDxfId="9" tableBorderDxfId="8" totalsRowBorderDxfId="7">
  <autoFilter ref="A2:G7" xr:uid="{835FC209-6F4F-4964-A74B-0A9380E9349B}"/>
  <tableColumns count="7">
    <tableColumn id="1" xr3:uid="{36949456-FA00-4974-B3CF-8DB648792CF1}" name="Model Name" dataDxfId="6"/>
    <tableColumn id="2" xr3:uid="{3367F138-D46A-45C8-8678-92DAE1A41D09}" name="Variables Used" dataDxfId="5"/>
    <tableColumn id="3" xr3:uid="{1B41026E-4051-450C-9B98-F6BC6B7DB63C}" name="R²" dataDxfId="4"/>
    <tableColumn id="4" xr3:uid="{D6E82130-3443-4371-9591-A51670AA7BA9}" name="Key Significant Variables (p &lt; 0.05)" dataDxfId="3"/>
    <tableColumn id="5" xr3:uid="{5B6D1F6F-1174-41D6-AFEF-0FF39EAD06EA}" name="Business Interpretation" dataDxfId="2"/>
    <tableColumn id="6" xr3:uid="{4545A45E-A8C9-4D3D-9FC8-A3A1EF5B6782}" name="Limitations" dataDxfId="1"/>
    <tableColumn id="7" xr3:uid="{1A3C5ECE-6A16-4E83-A167-7EE1F649953A}" name="Final Verdi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D12" sqref="D12"/>
    </sheetView>
  </sheetViews>
  <sheetFormatPr defaultRowHeight="14.5"/>
  <cols>
    <col min="1" max="1" width="14.6328125" customWidth="1"/>
    <col min="2" max="2" width="17.6328125" customWidth="1"/>
    <col min="3" max="3" width="14.453125" customWidth="1"/>
    <col min="4" max="4" width="17.36328125" customWidth="1"/>
    <col min="5" max="5" width="26.81640625" customWidth="1"/>
    <col min="6" max="6" width="17.6328125" customWidth="1"/>
    <col min="7" max="7" width="24.453125" customWidth="1"/>
    <col min="8" max="8" width="19.1796875" customWidth="1"/>
    <col min="9" max="9" width="31.6328125" customWidth="1"/>
    <col min="10" max="10" width="27.26953125" customWidth="1"/>
    <col min="11" max="11" width="20.81640625" customWidth="1"/>
    <col min="12" max="12" width="21.1796875" customWidth="1"/>
    <col min="13" max="13" width="20" customWidth="1"/>
    <col min="14" max="14" width="16.26953125" customWidth="1"/>
  </cols>
  <sheetData>
    <row r="1" spans="1:14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7D5D-CBD8-4CF7-95A0-3E2BF4389D87}">
  <dimension ref="A1:P321"/>
  <sheetViews>
    <sheetView topLeftCell="D1" workbookViewId="0">
      <selection activeCell="I1" sqref="I1:I1048576"/>
    </sheetView>
  </sheetViews>
  <sheetFormatPr defaultRowHeight="14.5"/>
  <cols>
    <col min="1" max="1" width="14.6328125" customWidth="1"/>
    <col min="2" max="2" width="17.6328125" customWidth="1"/>
    <col min="3" max="3" width="14.453125" customWidth="1"/>
    <col min="4" max="4" width="17.36328125" customWidth="1"/>
    <col min="5" max="5" width="26.81640625" customWidth="1"/>
    <col min="6" max="6" width="17.6328125" customWidth="1"/>
    <col min="7" max="7" width="24.453125" customWidth="1"/>
    <col min="8" max="8" width="19.1796875" customWidth="1"/>
    <col min="9" max="9" width="31.6328125" customWidth="1"/>
    <col min="10" max="10" width="27.26953125" customWidth="1"/>
    <col min="11" max="11" width="36" customWidth="1"/>
    <col min="12" max="12" width="20.81640625" customWidth="1"/>
    <col min="13" max="13" width="21.1796875" customWidth="1"/>
    <col min="14" max="14" width="31.6328125" customWidth="1"/>
    <col min="15" max="15" width="20" customWidth="1"/>
    <col min="16" max="16" width="16.26953125" customWidth="1"/>
  </cols>
  <sheetData>
    <row r="1" spans="1:16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  <c r="L1" s="1" t="s">
        <v>10</v>
      </c>
      <c r="M1" s="1" t="s">
        <v>11</v>
      </c>
      <c r="N1" s="1" t="s">
        <v>103</v>
      </c>
      <c r="O1" s="1" t="s">
        <v>12</v>
      </c>
      <c r="P1" s="1" t="s">
        <v>13</v>
      </c>
    </row>
    <row r="2" spans="1:16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f>IF(J2="",AVERAGE(J2:J321),J2)</f>
        <v>5.28</v>
      </c>
      <c r="L2">
        <v>1</v>
      </c>
      <c r="M2">
        <v>3.1</v>
      </c>
      <c r="N2">
        <f>IF(M2="",AVERAGE(M2:M321),M2)</f>
        <v>3.1</v>
      </c>
      <c r="O2">
        <v>658832.62</v>
      </c>
      <c r="P2">
        <v>84349.93</v>
      </c>
    </row>
    <row r="3" spans="1:16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f t="shared" ref="K3:K66" si="0">IF(J3="",AVERAGE(J3:J322),J3)</f>
        <v>4.3099999999999996</v>
      </c>
      <c r="L3">
        <v>0</v>
      </c>
      <c r="M3">
        <v>2.8</v>
      </c>
      <c r="N3">
        <f t="shared" ref="N3:N66" si="1">IF(M3="",AVERAGE(M3:M322),M3)</f>
        <v>2.8</v>
      </c>
      <c r="O3">
        <v>634436</v>
      </c>
      <c r="P3">
        <v>106130.54</v>
      </c>
    </row>
    <row r="4" spans="1:16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f t="shared" si="0"/>
        <v>12</v>
      </c>
      <c r="L4">
        <v>0</v>
      </c>
      <c r="M4">
        <v>3.2</v>
      </c>
      <c r="N4">
        <f t="shared" si="1"/>
        <v>3.2</v>
      </c>
      <c r="O4">
        <v>678722.06</v>
      </c>
      <c r="P4">
        <v>101883.86</v>
      </c>
    </row>
    <row r="5" spans="1:16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f t="shared" si="0"/>
        <v>4.97</v>
      </c>
      <c r="L5">
        <v>0</v>
      </c>
      <c r="M5">
        <v>3.4</v>
      </c>
      <c r="N5">
        <f t="shared" si="1"/>
        <v>3.4</v>
      </c>
      <c r="O5">
        <v>658920.30000000005</v>
      </c>
      <c r="P5">
        <v>97910.37</v>
      </c>
    </row>
    <row r="6" spans="1:16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f t="shared" si="0"/>
        <v>6.94</v>
      </c>
      <c r="L6">
        <v>1</v>
      </c>
      <c r="M6">
        <v>4.2</v>
      </c>
      <c r="N6">
        <f t="shared" si="1"/>
        <v>4.2</v>
      </c>
      <c r="O6">
        <v>741341.44</v>
      </c>
      <c r="P6">
        <v>119208.17</v>
      </c>
    </row>
    <row r="7" spans="1:16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f t="shared" si="0"/>
        <v>2.88</v>
      </c>
      <c r="L7">
        <v>0</v>
      </c>
      <c r="M7">
        <v>4.2</v>
      </c>
      <c r="N7">
        <f t="shared" si="1"/>
        <v>4.2</v>
      </c>
      <c r="O7">
        <v>761835.34</v>
      </c>
      <c r="P7">
        <v>149602.23000000001</v>
      </c>
    </row>
    <row r="8" spans="1:16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f t="shared" si="0"/>
        <v>0.2</v>
      </c>
      <c r="L8">
        <v>1</v>
      </c>
      <c r="M8">
        <v>4.0999999999999996</v>
      </c>
      <c r="N8">
        <f t="shared" si="1"/>
        <v>4.0999999999999996</v>
      </c>
      <c r="O8">
        <v>806615.54</v>
      </c>
      <c r="P8">
        <v>131364.62</v>
      </c>
    </row>
    <row r="9" spans="1:16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f t="shared" si="0"/>
        <v>0.8</v>
      </c>
      <c r="L9">
        <v>0</v>
      </c>
      <c r="M9">
        <v>3.9</v>
      </c>
      <c r="N9">
        <f t="shared" si="1"/>
        <v>3.9</v>
      </c>
      <c r="O9">
        <v>850164.26</v>
      </c>
      <c r="P9">
        <v>149262.75</v>
      </c>
    </row>
    <row r="10" spans="1:16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f t="shared" si="0"/>
        <v>7.7</v>
      </c>
      <c r="L10">
        <v>1</v>
      </c>
      <c r="M10">
        <v>3.8</v>
      </c>
      <c r="N10">
        <f t="shared" si="1"/>
        <v>3.8</v>
      </c>
      <c r="O10">
        <v>930581.7</v>
      </c>
      <c r="P10">
        <v>136207.98000000001</v>
      </c>
    </row>
    <row r="11" spans="1:16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f t="shared" si="0"/>
        <v>1.91</v>
      </c>
      <c r="L11">
        <v>0</v>
      </c>
      <c r="M11">
        <v>4.2</v>
      </c>
      <c r="N11">
        <f t="shared" si="1"/>
        <v>4.2</v>
      </c>
      <c r="O11">
        <v>779010.94</v>
      </c>
      <c r="P11">
        <v>106328.09</v>
      </c>
    </row>
    <row r="12" spans="1:16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f t="shared" si="0"/>
        <v>10.46</v>
      </c>
      <c r="L12">
        <v>1</v>
      </c>
      <c r="M12">
        <v>3.8</v>
      </c>
      <c r="N12">
        <f t="shared" si="1"/>
        <v>3.8</v>
      </c>
      <c r="O12">
        <v>723060.76</v>
      </c>
      <c r="P12">
        <v>123131.24</v>
      </c>
    </row>
    <row r="13" spans="1:16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f t="shared" si="0"/>
        <v>7.16</v>
      </c>
      <c r="L13">
        <v>0</v>
      </c>
      <c r="M13">
        <v>3.8</v>
      </c>
      <c r="N13">
        <f t="shared" si="1"/>
        <v>3.8</v>
      </c>
      <c r="O13">
        <v>910791.94</v>
      </c>
      <c r="P13">
        <v>158891.28</v>
      </c>
    </row>
    <row r="14" spans="1:16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f t="shared" si="0"/>
        <v>4.24</v>
      </c>
      <c r="L14">
        <v>1</v>
      </c>
      <c r="M14">
        <v>4.2</v>
      </c>
      <c r="N14">
        <f t="shared" si="1"/>
        <v>4.2</v>
      </c>
      <c r="O14">
        <v>922168.6</v>
      </c>
      <c r="P14">
        <v>107494.53</v>
      </c>
    </row>
    <row r="15" spans="1:16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f t="shared" si="0"/>
        <v>1.06</v>
      </c>
      <c r="L15">
        <v>0</v>
      </c>
      <c r="M15">
        <v>4.3</v>
      </c>
      <c r="N15">
        <f t="shared" si="1"/>
        <v>4.3</v>
      </c>
      <c r="O15">
        <v>726606.28</v>
      </c>
      <c r="P15">
        <v>122729.29</v>
      </c>
    </row>
    <row r="16" spans="1:16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f t="shared" si="0"/>
        <v>0.27</v>
      </c>
      <c r="L16">
        <v>0</v>
      </c>
      <c r="M16">
        <v>4.3</v>
      </c>
      <c r="N16">
        <f t="shared" si="1"/>
        <v>4.3</v>
      </c>
      <c r="O16">
        <v>746501.09</v>
      </c>
      <c r="P16">
        <v>136816.72</v>
      </c>
    </row>
    <row r="17" spans="1:16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f t="shared" si="0"/>
        <v>1.32</v>
      </c>
      <c r="L17">
        <v>0</v>
      </c>
      <c r="M17">
        <v>4.5</v>
      </c>
      <c r="N17">
        <f t="shared" si="1"/>
        <v>4.5</v>
      </c>
      <c r="O17">
        <v>834017.02</v>
      </c>
      <c r="P17">
        <v>114745.03</v>
      </c>
    </row>
    <row r="18" spans="1:16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f t="shared" si="0"/>
        <v>1.22</v>
      </c>
      <c r="L18">
        <v>0</v>
      </c>
      <c r="M18">
        <v>3.7</v>
      </c>
      <c r="N18">
        <f t="shared" si="1"/>
        <v>3.7</v>
      </c>
      <c r="O18">
        <v>666152.52</v>
      </c>
      <c r="P18">
        <v>107490.58</v>
      </c>
    </row>
    <row r="19" spans="1:16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f t="shared" si="0"/>
        <v>4.01</v>
      </c>
      <c r="L19">
        <v>0</v>
      </c>
      <c r="M19">
        <v>3.6</v>
      </c>
      <c r="N19">
        <f t="shared" si="1"/>
        <v>3.6</v>
      </c>
      <c r="O19">
        <v>573155.18999999994</v>
      </c>
      <c r="P19">
        <v>83680.75</v>
      </c>
    </row>
    <row r="20" spans="1:16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f t="shared" si="0"/>
        <v>0.2</v>
      </c>
      <c r="L20">
        <v>0</v>
      </c>
      <c r="M20">
        <v>3.9</v>
      </c>
      <c r="N20">
        <f t="shared" si="1"/>
        <v>3.9</v>
      </c>
      <c r="O20">
        <v>666573.19999999995</v>
      </c>
      <c r="P20">
        <v>140641.01999999999</v>
      </c>
    </row>
    <row r="21" spans="1:16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f t="shared" si="0"/>
        <v>0.5</v>
      </c>
      <c r="L21">
        <v>0</v>
      </c>
      <c r="M21">
        <v>4</v>
      </c>
      <c r="N21">
        <f t="shared" si="1"/>
        <v>4</v>
      </c>
      <c r="O21">
        <v>591619.94999999995</v>
      </c>
      <c r="P21">
        <v>99521.35</v>
      </c>
    </row>
    <row r="22" spans="1:16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f t="shared" si="0"/>
        <v>6.95</v>
      </c>
      <c r="L22">
        <v>0</v>
      </c>
      <c r="M22">
        <v>5</v>
      </c>
      <c r="N22">
        <f t="shared" si="1"/>
        <v>5</v>
      </c>
      <c r="O22">
        <v>415721.82</v>
      </c>
      <c r="P22">
        <v>61179.15</v>
      </c>
    </row>
    <row r="23" spans="1:16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f t="shared" si="0"/>
        <v>0.2</v>
      </c>
      <c r="L23">
        <v>0</v>
      </c>
      <c r="M23">
        <v>5</v>
      </c>
      <c r="N23">
        <f t="shared" si="1"/>
        <v>5</v>
      </c>
      <c r="O23">
        <v>491905.13</v>
      </c>
      <c r="P23">
        <v>79212.259999999995</v>
      </c>
    </row>
    <row r="24" spans="1:16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f t="shared" si="0"/>
        <v>1.61</v>
      </c>
      <c r="L24">
        <v>1</v>
      </c>
      <c r="M24">
        <v>4.5999999999999996</v>
      </c>
      <c r="N24">
        <f t="shared" si="1"/>
        <v>4.5999999999999996</v>
      </c>
      <c r="O24">
        <v>555929.4</v>
      </c>
      <c r="P24">
        <v>115201.76</v>
      </c>
    </row>
    <row r="25" spans="1:16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f t="shared" si="0"/>
        <v>1.55</v>
      </c>
      <c r="L25">
        <v>0</v>
      </c>
      <c r="M25">
        <v>4.7</v>
      </c>
      <c r="N25">
        <f t="shared" si="1"/>
        <v>4.7</v>
      </c>
      <c r="O25">
        <v>565810.99</v>
      </c>
      <c r="P25">
        <v>77825.460000000006</v>
      </c>
    </row>
    <row r="26" spans="1:16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f t="shared" si="0"/>
        <v>2.99</v>
      </c>
      <c r="L26">
        <v>0</v>
      </c>
      <c r="M26">
        <v>3.5</v>
      </c>
      <c r="N26">
        <f t="shared" si="1"/>
        <v>3.5</v>
      </c>
      <c r="O26">
        <v>811771.14</v>
      </c>
      <c r="P26">
        <v>148756.24</v>
      </c>
    </row>
    <row r="27" spans="1:16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f t="shared" si="0"/>
        <v>7.04</v>
      </c>
      <c r="L27">
        <v>0</v>
      </c>
      <c r="M27">
        <v>3.9</v>
      </c>
      <c r="N27">
        <f t="shared" si="1"/>
        <v>3.9</v>
      </c>
      <c r="O27">
        <v>800451.94</v>
      </c>
      <c r="P27">
        <v>111572.29</v>
      </c>
    </row>
    <row r="28" spans="1:16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f t="shared" si="0"/>
        <v>4.9400000000000004</v>
      </c>
      <c r="L28">
        <v>0</v>
      </c>
      <c r="M28">
        <v>4</v>
      </c>
      <c r="N28">
        <f t="shared" si="1"/>
        <v>4</v>
      </c>
      <c r="O28">
        <v>783672.82</v>
      </c>
      <c r="P28">
        <v>112577.14</v>
      </c>
    </row>
    <row r="29" spans="1:16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f t="shared" si="0"/>
        <v>16.149999999999999</v>
      </c>
      <c r="L29">
        <v>0</v>
      </c>
      <c r="M29">
        <v>3.7</v>
      </c>
      <c r="N29">
        <f t="shared" si="1"/>
        <v>3.7</v>
      </c>
      <c r="O29">
        <v>701641.97</v>
      </c>
      <c r="P29">
        <v>106111.86</v>
      </c>
    </row>
    <row r="30" spans="1:16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f t="shared" si="0"/>
        <v>0.48</v>
      </c>
      <c r="L30">
        <v>0</v>
      </c>
      <c r="M30">
        <v>3.6</v>
      </c>
      <c r="N30">
        <f t="shared" si="1"/>
        <v>3.6</v>
      </c>
      <c r="O30">
        <v>511844.41</v>
      </c>
      <c r="P30">
        <v>72774.44</v>
      </c>
    </row>
    <row r="31" spans="1:16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f t="shared" si="0"/>
        <v>0.31</v>
      </c>
      <c r="L31">
        <v>0</v>
      </c>
      <c r="M31">
        <v>3.1</v>
      </c>
      <c r="N31">
        <f t="shared" si="1"/>
        <v>3.1</v>
      </c>
      <c r="O31">
        <v>537383.79</v>
      </c>
      <c r="P31">
        <v>63773.27</v>
      </c>
    </row>
    <row r="32" spans="1:16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f t="shared" si="0"/>
        <v>3.01</v>
      </c>
      <c r="L32">
        <v>1</v>
      </c>
      <c r="M32">
        <v>3.7</v>
      </c>
      <c r="N32">
        <f t="shared" si="1"/>
        <v>3.7</v>
      </c>
      <c r="O32">
        <v>500173.02</v>
      </c>
      <c r="P32">
        <v>70982.05</v>
      </c>
    </row>
    <row r="33" spans="1:16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f t="shared" si="0"/>
        <v>12.15</v>
      </c>
      <c r="L33">
        <v>0</v>
      </c>
      <c r="M33">
        <v>3.6</v>
      </c>
      <c r="N33">
        <f t="shared" si="1"/>
        <v>3.6</v>
      </c>
      <c r="O33">
        <v>427917.38</v>
      </c>
      <c r="P33">
        <v>81824.31</v>
      </c>
    </row>
    <row r="34" spans="1:16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f t="shared" si="0"/>
        <v>11.71</v>
      </c>
      <c r="L34">
        <v>0</v>
      </c>
      <c r="M34">
        <v>4.2</v>
      </c>
      <c r="N34">
        <f t="shared" si="1"/>
        <v>4.2</v>
      </c>
      <c r="O34">
        <v>641865.03</v>
      </c>
      <c r="P34">
        <v>81342.58</v>
      </c>
    </row>
    <row r="35" spans="1:16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f t="shared" si="0"/>
        <v>0.62</v>
      </c>
      <c r="L35">
        <v>0</v>
      </c>
      <c r="N35" s="4">
        <f t="shared" si="1"/>
        <v>3.9243727598566327</v>
      </c>
      <c r="O35">
        <v>799477.76000000001</v>
      </c>
      <c r="P35">
        <v>164974.41</v>
      </c>
    </row>
    <row r="36" spans="1:16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f t="shared" si="0"/>
        <v>2.12</v>
      </c>
      <c r="L36">
        <v>0</v>
      </c>
      <c r="M36">
        <v>3.5</v>
      </c>
      <c r="N36">
        <f t="shared" si="1"/>
        <v>3.5</v>
      </c>
      <c r="O36">
        <v>798952.17</v>
      </c>
      <c r="P36">
        <v>161499.04</v>
      </c>
    </row>
    <row r="37" spans="1:16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f t="shared" si="0"/>
        <v>6.31</v>
      </c>
      <c r="L37">
        <v>0</v>
      </c>
      <c r="M37">
        <v>3.6</v>
      </c>
      <c r="N37">
        <f t="shared" si="1"/>
        <v>3.6</v>
      </c>
      <c r="O37">
        <v>800979.78</v>
      </c>
      <c r="P37">
        <v>149242.26999999999</v>
      </c>
    </row>
    <row r="38" spans="1:16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f t="shared" si="0"/>
        <v>9.56</v>
      </c>
      <c r="L38">
        <v>1</v>
      </c>
      <c r="M38">
        <v>4.2</v>
      </c>
      <c r="N38">
        <f t="shared" si="1"/>
        <v>4.2</v>
      </c>
      <c r="O38">
        <v>820593.93</v>
      </c>
      <c r="P38">
        <v>115860.06</v>
      </c>
    </row>
    <row r="39" spans="1:16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f t="shared" si="0"/>
        <v>9.0500000000000007</v>
      </c>
      <c r="L39">
        <v>0</v>
      </c>
      <c r="M39">
        <v>3.8</v>
      </c>
      <c r="N39">
        <f t="shared" si="1"/>
        <v>3.8</v>
      </c>
      <c r="O39">
        <v>718330.53</v>
      </c>
      <c r="P39">
        <v>93247.9</v>
      </c>
    </row>
    <row r="40" spans="1:16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f t="shared" si="0"/>
        <v>5.05</v>
      </c>
      <c r="L40">
        <v>0</v>
      </c>
      <c r="M40">
        <v>4</v>
      </c>
      <c r="N40">
        <f t="shared" si="1"/>
        <v>4</v>
      </c>
      <c r="O40">
        <v>736633.4</v>
      </c>
      <c r="P40">
        <v>115654.66</v>
      </c>
    </row>
    <row r="41" spans="1:16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f t="shared" si="0"/>
        <v>0.89</v>
      </c>
      <c r="L41">
        <v>0</v>
      </c>
      <c r="M41">
        <v>3.8</v>
      </c>
      <c r="N41">
        <f t="shared" si="1"/>
        <v>3.8</v>
      </c>
      <c r="O41">
        <v>828623.85</v>
      </c>
      <c r="P41">
        <v>167320.51999999999</v>
      </c>
    </row>
    <row r="42" spans="1:16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f t="shared" si="0"/>
        <v>5.57</v>
      </c>
      <c r="L42">
        <v>0</v>
      </c>
      <c r="M42">
        <v>4.4000000000000004</v>
      </c>
      <c r="N42">
        <f t="shared" si="1"/>
        <v>4.4000000000000004</v>
      </c>
      <c r="O42">
        <v>592195.85</v>
      </c>
      <c r="P42">
        <v>92291.56</v>
      </c>
    </row>
    <row r="43" spans="1:16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f t="shared" si="0"/>
        <v>1.06</v>
      </c>
      <c r="L43">
        <v>0</v>
      </c>
      <c r="M43">
        <v>4.4000000000000004</v>
      </c>
      <c r="N43">
        <f t="shared" si="1"/>
        <v>4.4000000000000004</v>
      </c>
      <c r="O43">
        <v>532644.46</v>
      </c>
      <c r="P43">
        <v>60681.32</v>
      </c>
    </row>
    <row r="44" spans="1:16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f t="shared" si="0"/>
        <v>1.24</v>
      </c>
      <c r="L44">
        <v>1</v>
      </c>
      <c r="M44">
        <v>4</v>
      </c>
      <c r="N44">
        <f t="shared" si="1"/>
        <v>4</v>
      </c>
      <c r="O44">
        <v>657429.18000000005</v>
      </c>
      <c r="P44">
        <v>88919.74</v>
      </c>
    </row>
    <row r="45" spans="1:16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f t="shared" si="0"/>
        <v>4.5199999999999996</v>
      </c>
      <c r="L45">
        <v>0</v>
      </c>
      <c r="M45">
        <v>4.2</v>
      </c>
      <c r="N45">
        <f t="shared" si="1"/>
        <v>4.2</v>
      </c>
      <c r="O45">
        <v>605178</v>
      </c>
      <c r="P45">
        <v>106958.74</v>
      </c>
    </row>
    <row r="46" spans="1:16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f t="shared" si="0"/>
        <v>9.58</v>
      </c>
      <c r="L46">
        <v>0</v>
      </c>
      <c r="M46">
        <v>3.2</v>
      </c>
      <c r="N46">
        <f t="shared" si="1"/>
        <v>3.2</v>
      </c>
      <c r="O46">
        <v>595467.6</v>
      </c>
      <c r="P46">
        <v>104276.46</v>
      </c>
    </row>
    <row r="47" spans="1:16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f t="shared" si="0"/>
        <v>5.52</v>
      </c>
      <c r="L47">
        <v>0</v>
      </c>
      <c r="M47">
        <v>3.5</v>
      </c>
      <c r="N47">
        <f t="shared" si="1"/>
        <v>3.5</v>
      </c>
      <c r="O47">
        <v>599603.4</v>
      </c>
      <c r="P47">
        <v>112685.12</v>
      </c>
    </row>
    <row r="48" spans="1:16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f t="shared" si="0"/>
        <v>2.7</v>
      </c>
      <c r="L48">
        <v>1</v>
      </c>
      <c r="M48">
        <v>3.2</v>
      </c>
      <c r="N48">
        <f t="shared" si="1"/>
        <v>3.2</v>
      </c>
      <c r="O48">
        <v>614800.09</v>
      </c>
      <c r="P48">
        <v>100044.2</v>
      </c>
    </row>
    <row r="49" spans="1:16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f t="shared" si="0"/>
        <v>9.64</v>
      </c>
      <c r="L49">
        <v>0</v>
      </c>
      <c r="M49">
        <v>3.3</v>
      </c>
      <c r="N49">
        <f t="shared" si="1"/>
        <v>3.3</v>
      </c>
      <c r="O49">
        <v>585365.73</v>
      </c>
      <c r="P49">
        <v>81011.520000000004</v>
      </c>
    </row>
    <row r="50" spans="1:16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f t="shared" si="0"/>
        <v>3.49</v>
      </c>
      <c r="L50">
        <v>1</v>
      </c>
      <c r="M50">
        <v>4.7</v>
      </c>
      <c r="N50">
        <f t="shared" si="1"/>
        <v>4.7</v>
      </c>
      <c r="O50">
        <v>622811.74</v>
      </c>
      <c r="P50">
        <v>109978.35</v>
      </c>
    </row>
    <row r="51" spans="1:16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f t="shared" si="0"/>
        <v>9.11</v>
      </c>
      <c r="L51">
        <v>0</v>
      </c>
      <c r="M51">
        <v>4.5999999999999996</v>
      </c>
      <c r="N51">
        <f t="shared" si="1"/>
        <v>4.5999999999999996</v>
      </c>
      <c r="O51">
        <v>603297.56999999995</v>
      </c>
      <c r="P51">
        <v>60592.26</v>
      </c>
    </row>
    <row r="52" spans="1:16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f t="shared" si="0"/>
        <v>7.4</v>
      </c>
      <c r="L52">
        <v>0</v>
      </c>
      <c r="M52">
        <v>4.5</v>
      </c>
      <c r="N52">
        <f t="shared" si="1"/>
        <v>4.5</v>
      </c>
      <c r="O52">
        <v>625672.86</v>
      </c>
      <c r="P52">
        <v>118020.12</v>
      </c>
    </row>
    <row r="53" spans="1:16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f t="shared" si="0"/>
        <v>7.16</v>
      </c>
      <c r="L53">
        <v>0</v>
      </c>
      <c r="M53">
        <v>4.5999999999999996</v>
      </c>
      <c r="N53">
        <f t="shared" si="1"/>
        <v>4.5999999999999996</v>
      </c>
      <c r="O53">
        <v>773815.14</v>
      </c>
      <c r="P53">
        <v>133948.39000000001</v>
      </c>
    </row>
    <row r="54" spans="1:16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f t="shared" si="0"/>
        <v>22.02</v>
      </c>
      <c r="L54">
        <v>0</v>
      </c>
      <c r="M54">
        <v>3.9</v>
      </c>
      <c r="N54">
        <f t="shared" si="1"/>
        <v>3.9</v>
      </c>
      <c r="O54">
        <v>463534.25</v>
      </c>
      <c r="P54">
        <v>81834.539999999994</v>
      </c>
    </row>
    <row r="55" spans="1:16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f t="shared" si="0"/>
        <v>6.18</v>
      </c>
      <c r="L55">
        <v>0</v>
      </c>
      <c r="M55">
        <v>4.7</v>
      </c>
      <c r="N55">
        <f t="shared" si="1"/>
        <v>4.7</v>
      </c>
      <c r="O55">
        <v>746677.75</v>
      </c>
      <c r="P55">
        <v>122437.84</v>
      </c>
    </row>
    <row r="56" spans="1:16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f t="shared" si="0"/>
        <v>1.76</v>
      </c>
      <c r="L56">
        <v>0</v>
      </c>
      <c r="M56">
        <v>4.3</v>
      </c>
      <c r="N56">
        <f t="shared" si="1"/>
        <v>4.3</v>
      </c>
      <c r="O56">
        <v>720852.5</v>
      </c>
      <c r="P56">
        <v>98565.62</v>
      </c>
    </row>
    <row r="57" spans="1:16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f t="shared" si="0"/>
        <v>0.47</v>
      </c>
      <c r="L57">
        <v>0</v>
      </c>
      <c r="M57">
        <v>4.0999999999999996</v>
      </c>
      <c r="N57">
        <f t="shared" si="1"/>
        <v>4.0999999999999996</v>
      </c>
      <c r="O57">
        <v>487464.91</v>
      </c>
      <c r="P57">
        <v>64562.26</v>
      </c>
    </row>
    <row r="58" spans="1:16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f t="shared" si="0"/>
        <v>0.2</v>
      </c>
      <c r="L58">
        <v>0</v>
      </c>
      <c r="M58">
        <v>3.5</v>
      </c>
      <c r="N58">
        <f t="shared" si="1"/>
        <v>3.5</v>
      </c>
      <c r="O58">
        <v>518049.26</v>
      </c>
      <c r="P58">
        <v>108592.49</v>
      </c>
    </row>
    <row r="59" spans="1:16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f t="shared" si="0"/>
        <v>5.1100000000000003</v>
      </c>
      <c r="L59">
        <v>0</v>
      </c>
      <c r="M59">
        <v>3.7</v>
      </c>
      <c r="N59">
        <f t="shared" si="1"/>
        <v>3.7</v>
      </c>
      <c r="O59">
        <v>500298.48</v>
      </c>
      <c r="P59">
        <v>73461.320000000007</v>
      </c>
    </row>
    <row r="60" spans="1:16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f t="shared" si="0"/>
        <v>0.2</v>
      </c>
      <c r="L60">
        <v>0</v>
      </c>
      <c r="M60">
        <v>3.1</v>
      </c>
      <c r="N60">
        <f t="shared" si="1"/>
        <v>3.1</v>
      </c>
      <c r="O60">
        <v>617291.15</v>
      </c>
      <c r="P60">
        <v>117782</v>
      </c>
    </row>
    <row r="61" spans="1:16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f t="shared" si="0"/>
        <v>13.59</v>
      </c>
      <c r="L61">
        <v>0</v>
      </c>
      <c r="M61">
        <v>3.1</v>
      </c>
      <c r="N61">
        <f t="shared" si="1"/>
        <v>3.1</v>
      </c>
      <c r="O61">
        <v>553756.43000000005</v>
      </c>
      <c r="P61">
        <v>86166.77</v>
      </c>
    </row>
    <row r="62" spans="1:16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f t="shared" si="0"/>
        <v>1.02</v>
      </c>
      <c r="L62">
        <v>0</v>
      </c>
      <c r="M62">
        <v>3.7</v>
      </c>
      <c r="N62">
        <f t="shared" si="1"/>
        <v>3.7</v>
      </c>
      <c r="O62">
        <v>749559.71</v>
      </c>
      <c r="P62">
        <v>144522.53</v>
      </c>
    </row>
    <row r="63" spans="1:16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f t="shared" si="0"/>
        <v>1.64</v>
      </c>
      <c r="L63">
        <v>0</v>
      </c>
      <c r="M63">
        <v>3.8</v>
      </c>
      <c r="N63">
        <f t="shared" si="1"/>
        <v>3.8</v>
      </c>
      <c r="O63">
        <v>615966.48</v>
      </c>
      <c r="P63">
        <v>91509.38</v>
      </c>
    </row>
    <row r="64" spans="1:16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f t="shared" si="0"/>
        <v>5.15</v>
      </c>
      <c r="L64">
        <v>0</v>
      </c>
      <c r="M64">
        <v>3.3</v>
      </c>
      <c r="N64">
        <f t="shared" si="1"/>
        <v>3.3</v>
      </c>
      <c r="O64">
        <v>572011.19999999995</v>
      </c>
      <c r="P64">
        <v>101409.68</v>
      </c>
    </row>
    <row r="65" spans="1:16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f t="shared" si="0"/>
        <v>1.1100000000000001</v>
      </c>
      <c r="L65">
        <v>0</v>
      </c>
      <c r="M65">
        <v>3.5</v>
      </c>
      <c r="N65">
        <f t="shared" si="1"/>
        <v>3.5</v>
      </c>
      <c r="O65">
        <v>761860.19</v>
      </c>
      <c r="P65">
        <v>133279.38</v>
      </c>
    </row>
    <row r="66" spans="1:16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f t="shared" si="0"/>
        <v>6.08</v>
      </c>
      <c r="L66">
        <v>1</v>
      </c>
      <c r="M66">
        <v>3.4</v>
      </c>
      <c r="N66">
        <f t="shared" si="1"/>
        <v>3.4</v>
      </c>
      <c r="O66">
        <v>784502.68</v>
      </c>
      <c r="P66">
        <v>129519.72</v>
      </c>
    </row>
    <row r="67" spans="1:16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f t="shared" ref="K67:K130" si="2">IF(J67="",AVERAGE(J67:J386),J67)</f>
        <v>10.91</v>
      </c>
      <c r="L67">
        <v>0</v>
      </c>
      <c r="M67">
        <v>3.6</v>
      </c>
      <c r="N67">
        <f t="shared" ref="N67:N130" si="3">IF(M67="",AVERAGE(M67:M386),M67)</f>
        <v>3.6</v>
      </c>
      <c r="O67">
        <v>717141.55</v>
      </c>
      <c r="P67">
        <v>134013.60999999999</v>
      </c>
    </row>
    <row r="68" spans="1:16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f t="shared" si="2"/>
        <v>19.010000000000002</v>
      </c>
      <c r="L68">
        <v>1</v>
      </c>
      <c r="M68">
        <v>3.2</v>
      </c>
      <c r="N68">
        <f t="shared" si="3"/>
        <v>3.2</v>
      </c>
      <c r="O68">
        <v>685379.08</v>
      </c>
      <c r="P68">
        <v>106898.82</v>
      </c>
    </row>
    <row r="69" spans="1:16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f t="shared" si="2"/>
        <v>0.77</v>
      </c>
      <c r="L69">
        <v>0</v>
      </c>
      <c r="M69">
        <v>3.4</v>
      </c>
      <c r="N69">
        <f t="shared" si="3"/>
        <v>3.4</v>
      </c>
      <c r="O69">
        <v>740496.65</v>
      </c>
      <c r="P69">
        <v>128020.9</v>
      </c>
    </row>
    <row r="70" spans="1:16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f t="shared" si="2"/>
        <v>2.83</v>
      </c>
      <c r="L70">
        <v>1</v>
      </c>
      <c r="M70">
        <v>3.3</v>
      </c>
      <c r="N70">
        <f t="shared" si="3"/>
        <v>3.3</v>
      </c>
      <c r="O70">
        <v>661927.14</v>
      </c>
      <c r="P70">
        <v>79218.570000000007</v>
      </c>
    </row>
    <row r="71" spans="1:16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f t="shared" si="2"/>
        <v>2.33</v>
      </c>
      <c r="L71">
        <v>0</v>
      </c>
      <c r="M71">
        <v>3.3</v>
      </c>
      <c r="N71">
        <f t="shared" si="3"/>
        <v>3.3</v>
      </c>
      <c r="O71">
        <v>479050.5</v>
      </c>
      <c r="P71">
        <v>53651.11</v>
      </c>
    </row>
    <row r="72" spans="1:16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f t="shared" si="2"/>
        <v>1.43</v>
      </c>
      <c r="L72">
        <v>0</v>
      </c>
      <c r="M72">
        <v>3.2</v>
      </c>
      <c r="N72">
        <f t="shared" si="3"/>
        <v>3.2</v>
      </c>
      <c r="O72">
        <v>605023.87</v>
      </c>
      <c r="P72">
        <v>98545.81</v>
      </c>
    </row>
    <row r="73" spans="1:16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 s="3">
        <f t="shared" si="2"/>
        <v>4.4552263374485639</v>
      </c>
      <c r="L73">
        <v>0</v>
      </c>
      <c r="M73">
        <v>3.5</v>
      </c>
      <c r="N73">
        <f t="shared" si="3"/>
        <v>3.5</v>
      </c>
      <c r="O73">
        <v>674774.09</v>
      </c>
      <c r="P73">
        <v>141917.59</v>
      </c>
    </row>
    <row r="74" spans="1:16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f t="shared" si="2"/>
        <v>4.91</v>
      </c>
      <c r="L74">
        <v>0</v>
      </c>
      <c r="M74">
        <v>4.5</v>
      </c>
      <c r="N74">
        <f t="shared" si="3"/>
        <v>4.5</v>
      </c>
      <c r="O74">
        <v>616069.41</v>
      </c>
      <c r="P74">
        <v>54453.99</v>
      </c>
    </row>
    <row r="75" spans="1:16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f t="shared" si="2"/>
        <v>7.03</v>
      </c>
      <c r="L75">
        <v>0</v>
      </c>
      <c r="M75">
        <v>4.4000000000000004</v>
      </c>
      <c r="N75">
        <f t="shared" si="3"/>
        <v>4.4000000000000004</v>
      </c>
      <c r="O75">
        <v>630829.93999999994</v>
      </c>
      <c r="P75">
        <v>117090.02</v>
      </c>
    </row>
    <row r="76" spans="1:16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f t="shared" si="2"/>
        <v>0.28000000000000003</v>
      </c>
      <c r="L76">
        <v>1</v>
      </c>
      <c r="M76">
        <v>4.3</v>
      </c>
      <c r="N76">
        <f t="shared" si="3"/>
        <v>4.3</v>
      </c>
      <c r="O76">
        <v>788087.68</v>
      </c>
      <c r="P76">
        <v>116803.42</v>
      </c>
    </row>
    <row r="77" spans="1:16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f t="shared" si="2"/>
        <v>3.61</v>
      </c>
      <c r="L77">
        <v>0</v>
      </c>
      <c r="M77">
        <v>4.5</v>
      </c>
      <c r="N77">
        <f t="shared" si="3"/>
        <v>4.5</v>
      </c>
      <c r="O77">
        <v>680840.36</v>
      </c>
      <c r="P77">
        <v>68007.679999999993</v>
      </c>
    </row>
    <row r="78" spans="1:16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f t="shared" si="2"/>
        <v>7.52</v>
      </c>
      <c r="L78">
        <v>1</v>
      </c>
      <c r="M78">
        <v>3.2</v>
      </c>
      <c r="N78">
        <f t="shared" si="3"/>
        <v>3.2</v>
      </c>
      <c r="O78">
        <v>643657.47</v>
      </c>
      <c r="P78">
        <v>87022.45</v>
      </c>
    </row>
    <row r="79" spans="1:16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f t="shared" si="2"/>
        <v>2.58</v>
      </c>
      <c r="L79">
        <v>0</v>
      </c>
      <c r="M79">
        <v>2.9</v>
      </c>
      <c r="N79">
        <f t="shared" si="3"/>
        <v>2.9</v>
      </c>
      <c r="O79">
        <v>691112.6</v>
      </c>
      <c r="P79">
        <v>109212.83</v>
      </c>
    </row>
    <row r="80" spans="1:16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f t="shared" si="2"/>
        <v>2.29</v>
      </c>
      <c r="L80">
        <v>0</v>
      </c>
      <c r="M80">
        <v>3.3</v>
      </c>
      <c r="N80">
        <f t="shared" si="3"/>
        <v>3.3</v>
      </c>
      <c r="O80">
        <v>776922.17</v>
      </c>
      <c r="P80">
        <v>150701.93</v>
      </c>
    </row>
    <row r="81" spans="1:16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f t="shared" si="2"/>
        <v>2.39</v>
      </c>
      <c r="L81">
        <v>0</v>
      </c>
      <c r="M81">
        <v>3.2</v>
      </c>
      <c r="N81">
        <f t="shared" si="3"/>
        <v>3.2</v>
      </c>
      <c r="O81">
        <v>636561.34</v>
      </c>
      <c r="P81">
        <v>93861.06</v>
      </c>
    </row>
    <row r="82" spans="1:16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f t="shared" si="2"/>
        <v>5.24</v>
      </c>
      <c r="L82">
        <v>0</v>
      </c>
      <c r="M82">
        <v>4.5999999999999996</v>
      </c>
      <c r="N82">
        <f t="shared" si="3"/>
        <v>4.5999999999999996</v>
      </c>
      <c r="O82">
        <v>621369.57999999996</v>
      </c>
      <c r="P82">
        <v>85493.64</v>
      </c>
    </row>
    <row r="83" spans="1:16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f t="shared" si="2"/>
        <v>3.17</v>
      </c>
      <c r="L83">
        <v>0</v>
      </c>
      <c r="M83">
        <v>4.5999999999999996</v>
      </c>
      <c r="N83">
        <f t="shared" si="3"/>
        <v>4.5999999999999996</v>
      </c>
      <c r="O83">
        <v>682208.01</v>
      </c>
      <c r="P83">
        <v>110318.84</v>
      </c>
    </row>
    <row r="84" spans="1:16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f t="shared" si="2"/>
        <v>2.66</v>
      </c>
      <c r="L84">
        <v>0</v>
      </c>
      <c r="M84">
        <v>4.5999999999999996</v>
      </c>
      <c r="N84">
        <f t="shared" si="3"/>
        <v>4.5999999999999996</v>
      </c>
      <c r="O84">
        <v>727241.86</v>
      </c>
      <c r="P84">
        <v>155810.29999999999</v>
      </c>
    </row>
    <row r="85" spans="1:16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f t="shared" si="2"/>
        <v>1.41</v>
      </c>
      <c r="L85">
        <v>0</v>
      </c>
      <c r="M85">
        <v>4.2</v>
      </c>
      <c r="N85">
        <f t="shared" si="3"/>
        <v>4.2</v>
      </c>
      <c r="O85">
        <v>569100.78</v>
      </c>
      <c r="P85">
        <v>104808.78</v>
      </c>
    </row>
    <row r="86" spans="1:16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f t="shared" si="2"/>
        <v>7.34</v>
      </c>
      <c r="L86">
        <v>0</v>
      </c>
      <c r="M86">
        <v>4.9000000000000004</v>
      </c>
      <c r="N86">
        <f t="shared" si="3"/>
        <v>4.9000000000000004</v>
      </c>
      <c r="O86">
        <v>574436.29</v>
      </c>
      <c r="P86">
        <v>80271.990000000005</v>
      </c>
    </row>
    <row r="87" spans="1:16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f t="shared" si="2"/>
        <v>5.95</v>
      </c>
      <c r="L87">
        <v>0</v>
      </c>
      <c r="N87" s="4">
        <f t="shared" si="3"/>
        <v>3.9412280701754407</v>
      </c>
      <c r="O87">
        <v>611766.72</v>
      </c>
      <c r="P87">
        <v>88275.61</v>
      </c>
    </row>
    <row r="88" spans="1:16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f t="shared" si="2"/>
        <v>15.51</v>
      </c>
      <c r="L88">
        <v>0</v>
      </c>
      <c r="M88">
        <v>4.3</v>
      </c>
      <c r="N88">
        <f t="shared" si="3"/>
        <v>4.3</v>
      </c>
      <c r="O88">
        <v>614596.31999999995</v>
      </c>
      <c r="P88">
        <v>131199.41</v>
      </c>
    </row>
    <row r="89" spans="1:16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f t="shared" si="2"/>
        <v>4.3099999999999996</v>
      </c>
      <c r="L89">
        <v>0</v>
      </c>
      <c r="M89">
        <v>4.5999999999999996</v>
      </c>
      <c r="N89">
        <f t="shared" si="3"/>
        <v>4.5999999999999996</v>
      </c>
      <c r="O89">
        <v>450711.92</v>
      </c>
      <c r="P89">
        <v>90043.76</v>
      </c>
    </row>
    <row r="90" spans="1:16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f t="shared" si="2"/>
        <v>6.61</v>
      </c>
      <c r="L90">
        <v>1</v>
      </c>
      <c r="M90">
        <v>4.0999999999999996</v>
      </c>
      <c r="N90">
        <f t="shared" si="3"/>
        <v>4.0999999999999996</v>
      </c>
      <c r="O90">
        <v>711213.46</v>
      </c>
      <c r="P90">
        <v>105863.26</v>
      </c>
    </row>
    <row r="91" spans="1:16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f t="shared" si="2"/>
        <v>4.26</v>
      </c>
      <c r="L91">
        <v>0</v>
      </c>
      <c r="M91">
        <v>4.5</v>
      </c>
      <c r="N91">
        <f t="shared" si="3"/>
        <v>4.5</v>
      </c>
      <c r="O91">
        <v>627171.9</v>
      </c>
      <c r="P91">
        <v>105772.75</v>
      </c>
    </row>
    <row r="92" spans="1:16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f t="shared" si="2"/>
        <v>5.75</v>
      </c>
      <c r="L92">
        <v>0</v>
      </c>
      <c r="M92">
        <v>4.7</v>
      </c>
      <c r="N92">
        <f t="shared" si="3"/>
        <v>4.7</v>
      </c>
      <c r="O92">
        <v>739852.58</v>
      </c>
      <c r="P92">
        <v>129386.43</v>
      </c>
    </row>
    <row r="93" spans="1:16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f t="shared" si="2"/>
        <v>0.33</v>
      </c>
      <c r="L93">
        <v>0</v>
      </c>
      <c r="M93">
        <v>4.3</v>
      </c>
      <c r="N93">
        <f t="shared" si="3"/>
        <v>4.3</v>
      </c>
      <c r="O93">
        <v>586307.22</v>
      </c>
      <c r="P93">
        <v>73927.850000000006</v>
      </c>
    </row>
    <row r="94" spans="1:16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f t="shared" si="2"/>
        <v>2.92</v>
      </c>
      <c r="L94">
        <v>0</v>
      </c>
      <c r="M94">
        <v>4.5999999999999996</v>
      </c>
      <c r="N94">
        <f t="shared" si="3"/>
        <v>4.5999999999999996</v>
      </c>
      <c r="O94">
        <v>585937.48</v>
      </c>
      <c r="P94">
        <v>82624.2</v>
      </c>
    </row>
    <row r="95" spans="1:16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f t="shared" si="2"/>
        <v>1.64</v>
      </c>
      <c r="L95">
        <v>0</v>
      </c>
      <c r="M95">
        <v>4.5</v>
      </c>
      <c r="N95">
        <f t="shared" si="3"/>
        <v>4.5</v>
      </c>
      <c r="O95">
        <v>753473.55</v>
      </c>
      <c r="P95">
        <v>151527.22</v>
      </c>
    </row>
    <row r="96" spans="1:16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f t="shared" si="2"/>
        <v>0.8</v>
      </c>
      <c r="L96">
        <v>0</v>
      </c>
      <c r="M96">
        <v>5</v>
      </c>
      <c r="N96">
        <f t="shared" si="3"/>
        <v>5</v>
      </c>
      <c r="O96">
        <v>838250.32</v>
      </c>
      <c r="P96">
        <v>122939.34</v>
      </c>
    </row>
    <row r="97" spans="1:16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f t="shared" si="2"/>
        <v>5.79</v>
      </c>
      <c r="L97">
        <v>0</v>
      </c>
      <c r="M97">
        <v>4.5</v>
      </c>
      <c r="N97">
        <f t="shared" si="3"/>
        <v>4.5</v>
      </c>
      <c r="O97">
        <v>607898.12</v>
      </c>
      <c r="P97">
        <v>135404.85</v>
      </c>
    </row>
    <row r="98" spans="1:16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f t="shared" si="2"/>
        <v>19.600000000000001</v>
      </c>
      <c r="L98">
        <v>0</v>
      </c>
      <c r="M98">
        <v>4.4000000000000004</v>
      </c>
      <c r="N98">
        <f t="shared" si="3"/>
        <v>4.4000000000000004</v>
      </c>
      <c r="O98">
        <v>691113.62</v>
      </c>
      <c r="P98">
        <v>135145.44</v>
      </c>
    </row>
    <row r="99" spans="1:16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f t="shared" si="2"/>
        <v>7.57</v>
      </c>
      <c r="L99">
        <v>0</v>
      </c>
      <c r="M99">
        <v>4.3</v>
      </c>
      <c r="N99">
        <f t="shared" si="3"/>
        <v>4.3</v>
      </c>
      <c r="O99">
        <v>735509.4</v>
      </c>
      <c r="P99">
        <v>83895.96</v>
      </c>
    </row>
    <row r="100" spans="1:16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 s="3">
        <f t="shared" si="2"/>
        <v>4.383179723502308</v>
      </c>
      <c r="L100">
        <v>0</v>
      </c>
      <c r="M100">
        <v>4.3</v>
      </c>
      <c r="N100">
        <f t="shared" si="3"/>
        <v>4.3</v>
      </c>
      <c r="O100">
        <v>605775.32999999996</v>
      </c>
      <c r="P100">
        <v>107194.6</v>
      </c>
    </row>
    <row r="101" spans="1:16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f t="shared" si="2"/>
        <v>2.7</v>
      </c>
      <c r="L101">
        <v>0</v>
      </c>
      <c r="M101">
        <v>4.4000000000000004</v>
      </c>
      <c r="N101">
        <f t="shared" si="3"/>
        <v>4.4000000000000004</v>
      </c>
      <c r="O101">
        <v>675177.68</v>
      </c>
      <c r="P101">
        <v>105628.68</v>
      </c>
    </row>
    <row r="102" spans="1:16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f t="shared" si="2"/>
        <v>0.2</v>
      </c>
      <c r="L102">
        <v>0</v>
      </c>
      <c r="M102">
        <v>4.4000000000000004</v>
      </c>
      <c r="N102">
        <f t="shared" si="3"/>
        <v>4.4000000000000004</v>
      </c>
      <c r="O102">
        <v>635181.35</v>
      </c>
      <c r="P102">
        <v>83341.25</v>
      </c>
    </row>
    <row r="103" spans="1:16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f t="shared" si="2"/>
        <v>7.87</v>
      </c>
      <c r="L103">
        <v>0</v>
      </c>
      <c r="M103">
        <v>4.7</v>
      </c>
      <c r="N103">
        <f t="shared" si="3"/>
        <v>4.7</v>
      </c>
      <c r="O103">
        <v>586626.93999999994</v>
      </c>
      <c r="P103">
        <v>86498.55</v>
      </c>
    </row>
    <row r="104" spans="1:16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f t="shared" si="2"/>
        <v>0.77</v>
      </c>
      <c r="L104">
        <v>1</v>
      </c>
      <c r="M104">
        <v>4.4000000000000004</v>
      </c>
      <c r="N104">
        <f t="shared" si="3"/>
        <v>4.4000000000000004</v>
      </c>
      <c r="O104">
        <v>740102.64</v>
      </c>
      <c r="P104">
        <v>114299.07</v>
      </c>
    </row>
    <row r="105" spans="1:16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f t="shared" si="2"/>
        <v>1.48</v>
      </c>
      <c r="L105">
        <v>0</v>
      </c>
      <c r="M105">
        <v>5</v>
      </c>
      <c r="N105">
        <f t="shared" si="3"/>
        <v>5</v>
      </c>
      <c r="O105">
        <v>625514.04</v>
      </c>
      <c r="P105">
        <v>120685.08</v>
      </c>
    </row>
    <row r="106" spans="1:16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f t="shared" si="2"/>
        <v>2.87</v>
      </c>
      <c r="L106">
        <v>0</v>
      </c>
      <c r="M106">
        <v>2.9</v>
      </c>
      <c r="N106">
        <f t="shared" si="3"/>
        <v>2.9</v>
      </c>
      <c r="O106">
        <v>727227.2</v>
      </c>
      <c r="P106">
        <v>121292.01</v>
      </c>
    </row>
    <row r="107" spans="1:16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f t="shared" si="2"/>
        <v>2.83</v>
      </c>
      <c r="L107">
        <v>0</v>
      </c>
      <c r="M107">
        <v>3</v>
      </c>
      <c r="N107">
        <f t="shared" si="3"/>
        <v>3</v>
      </c>
      <c r="O107">
        <v>783797.89</v>
      </c>
      <c r="P107">
        <v>157620.70000000001</v>
      </c>
    </row>
    <row r="108" spans="1:16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f t="shared" si="2"/>
        <v>0.25</v>
      </c>
      <c r="L108">
        <v>0</v>
      </c>
      <c r="M108">
        <v>3</v>
      </c>
      <c r="N108">
        <f t="shared" si="3"/>
        <v>3</v>
      </c>
      <c r="O108">
        <v>795153.84</v>
      </c>
      <c r="P108">
        <v>143194.21</v>
      </c>
    </row>
    <row r="109" spans="1:16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f t="shared" si="2"/>
        <v>13.33</v>
      </c>
      <c r="L109">
        <v>0</v>
      </c>
      <c r="M109">
        <v>3.2</v>
      </c>
      <c r="N109">
        <f t="shared" si="3"/>
        <v>3.2</v>
      </c>
      <c r="O109">
        <v>665594.93999999994</v>
      </c>
      <c r="P109">
        <v>127597.34</v>
      </c>
    </row>
    <row r="110" spans="1:16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f t="shared" si="2"/>
        <v>6.35</v>
      </c>
      <c r="L110">
        <v>1</v>
      </c>
      <c r="M110">
        <v>3.8</v>
      </c>
      <c r="N110">
        <f t="shared" si="3"/>
        <v>3.8</v>
      </c>
      <c r="O110">
        <v>709478.39</v>
      </c>
      <c r="P110">
        <v>71294.27</v>
      </c>
    </row>
    <row r="111" spans="1:16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f t="shared" si="2"/>
        <v>6.69</v>
      </c>
      <c r="L111">
        <v>0</v>
      </c>
      <c r="M111">
        <v>3.8</v>
      </c>
      <c r="N111">
        <f t="shared" si="3"/>
        <v>3.8</v>
      </c>
      <c r="O111">
        <v>664162.49</v>
      </c>
      <c r="P111">
        <v>98291.06</v>
      </c>
    </row>
    <row r="112" spans="1:16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f t="shared" si="2"/>
        <v>1.28</v>
      </c>
      <c r="L112">
        <v>0</v>
      </c>
      <c r="M112">
        <v>4.2</v>
      </c>
      <c r="N112">
        <f t="shared" si="3"/>
        <v>4.2</v>
      </c>
      <c r="O112">
        <v>633494.21</v>
      </c>
      <c r="P112">
        <v>105739.47</v>
      </c>
    </row>
    <row r="113" spans="1:16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f t="shared" si="2"/>
        <v>0.92</v>
      </c>
      <c r="L113">
        <v>0</v>
      </c>
      <c r="M113">
        <v>3.5</v>
      </c>
      <c r="N113">
        <f t="shared" si="3"/>
        <v>3.5</v>
      </c>
      <c r="O113">
        <v>713611.16</v>
      </c>
      <c r="P113">
        <v>129717.18</v>
      </c>
    </row>
    <row r="114" spans="1:16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f t="shared" si="2"/>
        <v>1.05</v>
      </c>
      <c r="L114">
        <v>0</v>
      </c>
      <c r="M114">
        <v>3.1</v>
      </c>
      <c r="N114">
        <f t="shared" si="3"/>
        <v>3.1</v>
      </c>
      <c r="O114">
        <v>778397.97</v>
      </c>
      <c r="P114">
        <v>120044.41</v>
      </c>
    </row>
    <row r="115" spans="1:16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f t="shared" si="2"/>
        <v>2.67</v>
      </c>
      <c r="L115">
        <v>0</v>
      </c>
      <c r="M115">
        <v>3.5</v>
      </c>
      <c r="N115">
        <f t="shared" si="3"/>
        <v>3.5</v>
      </c>
      <c r="O115">
        <v>873380.02</v>
      </c>
      <c r="P115">
        <v>149734.76</v>
      </c>
    </row>
    <row r="116" spans="1:16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f t="shared" si="2"/>
        <v>5.91</v>
      </c>
      <c r="L116">
        <v>0</v>
      </c>
      <c r="M116">
        <v>2.8</v>
      </c>
      <c r="N116">
        <f t="shared" si="3"/>
        <v>2.8</v>
      </c>
      <c r="O116">
        <v>697287.9</v>
      </c>
      <c r="P116">
        <v>128208.33</v>
      </c>
    </row>
    <row r="117" spans="1:16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f t="shared" si="2"/>
        <v>6.37</v>
      </c>
      <c r="L117">
        <v>0</v>
      </c>
      <c r="M117">
        <v>3.3</v>
      </c>
      <c r="N117">
        <f t="shared" si="3"/>
        <v>3.3</v>
      </c>
      <c r="O117">
        <v>718074.79</v>
      </c>
      <c r="P117">
        <v>115819.87</v>
      </c>
    </row>
    <row r="118" spans="1:16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f t="shared" si="2"/>
        <v>2.4900000000000002</v>
      </c>
      <c r="L118">
        <v>1</v>
      </c>
      <c r="M118">
        <v>4.7</v>
      </c>
      <c r="N118">
        <f t="shared" si="3"/>
        <v>4.7</v>
      </c>
      <c r="O118">
        <v>714942.43</v>
      </c>
      <c r="P118">
        <v>94697.71</v>
      </c>
    </row>
    <row r="119" spans="1:16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f t="shared" si="2"/>
        <v>1.56</v>
      </c>
      <c r="L119">
        <v>0</v>
      </c>
      <c r="M119">
        <v>4.7</v>
      </c>
      <c r="N119">
        <f t="shared" si="3"/>
        <v>4.7</v>
      </c>
      <c r="O119">
        <v>820519.04</v>
      </c>
      <c r="P119">
        <v>99035.88</v>
      </c>
    </row>
    <row r="120" spans="1:16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f t="shared" si="2"/>
        <v>14.95</v>
      </c>
      <c r="L120">
        <v>0</v>
      </c>
      <c r="M120">
        <v>4.5999999999999996</v>
      </c>
      <c r="N120">
        <f t="shared" si="3"/>
        <v>4.5999999999999996</v>
      </c>
      <c r="O120">
        <v>684217.32</v>
      </c>
      <c r="P120">
        <v>136217.19</v>
      </c>
    </row>
    <row r="121" spans="1:16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f t="shared" si="2"/>
        <v>7.85</v>
      </c>
      <c r="L121">
        <v>0</v>
      </c>
      <c r="M121">
        <v>4.7</v>
      </c>
      <c r="N121">
        <f t="shared" si="3"/>
        <v>4.7</v>
      </c>
      <c r="O121">
        <v>735480.19</v>
      </c>
      <c r="P121">
        <v>88342.11</v>
      </c>
    </row>
    <row r="122" spans="1:16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f t="shared" si="2"/>
        <v>6.8</v>
      </c>
      <c r="L122">
        <v>0</v>
      </c>
      <c r="M122">
        <v>4.4000000000000004</v>
      </c>
      <c r="N122">
        <f t="shared" si="3"/>
        <v>4.4000000000000004</v>
      </c>
      <c r="O122">
        <v>509484.81</v>
      </c>
      <c r="P122">
        <v>85742.36</v>
      </c>
    </row>
    <row r="123" spans="1:16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f t="shared" si="2"/>
        <v>2.2000000000000002</v>
      </c>
      <c r="L123">
        <v>0</v>
      </c>
      <c r="M123">
        <v>3.7</v>
      </c>
      <c r="N123">
        <f t="shared" si="3"/>
        <v>3.7</v>
      </c>
      <c r="O123">
        <v>654317.09</v>
      </c>
      <c r="P123">
        <v>121446.89</v>
      </c>
    </row>
    <row r="124" spans="1:16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f t="shared" si="2"/>
        <v>1.88</v>
      </c>
      <c r="L124">
        <v>0</v>
      </c>
      <c r="M124">
        <v>3.9</v>
      </c>
      <c r="N124">
        <f t="shared" si="3"/>
        <v>3.9</v>
      </c>
      <c r="O124">
        <v>557487.26</v>
      </c>
      <c r="P124">
        <v>76432.19</v>
      </c>
    </row>
    <row r="125" spans="1:16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f t="shared" si="2"/>
        <v>15.79</v>
      </c>
      <c r="L125">
        <v>0</v>
      </c>
      <c r="M125">
        <v>4.4000000000000004</v>
      </c>
      <c r="N125">
        <f t="shared" si="3"/>
        <v>4.4000000000000004</v>
      </c>
      <c r="O125">
        <v>441275.42</v>
      </c>
      <c r="P125">
        <v>58234.87</v>
      </c>
    </row>
    <row r="126" spans="1:16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f t="shared" si="2"/>
        <v>2.34</v>
      </c>
      <c r="L126">
        <v>1</v>
      </c>
      <c r="M126">
        <v>4.8</v>
      </c>
      <c r="N126">
        <f t="shared" si="3"/>
        <v>4.8</v>
      </c>
      <c r="O126">
        <v>914544.17</v>
      </c>
      <c r="P126">
        <v>79831.73</v>
      </c>
    </row>
    <row r="127" spans="1:16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f t="shared" si="2"/>
        <v>0.54</v>
      </c>
      <c r="L127">
        <v>0</v>
      </c>
      <c r="M127">
        <v>4.4000000000000004</v>
      </c>
      <c r="N127">
        <f t="shared" si="3"/>
        <v>4.4000000000000004</v>
      </c>
      <c r="O127">
        <v>842439.67</v>
      </c>
      <c r="P127">
        <v>169983.63</v>
      </c>
    </row>
    <row r="128" spans="1:16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f t="shared" si="2"/>
        <v>5.37</v>
      </c>
      <c r="L128">
        <v>1</v>
      </c>
      <c r="M128">
        <v>4.9000000000000004</v>
      </c>
      <c r="N128">
        <f t="shared" si="3"/>
        <v>4.9000000000000004</v>
      </c>
      <c r="O128">
        <v>842157.92</v>
      </c>
      <c r="P128">
        <v>107348.22</v>
      </c>
    </row>
    <row r="129" spans="1:16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f t="shared" si="2"/>
        <v>3.19</v>
      </c>
      <c r="L129">
        <v>0</v>
      </c>
      <c r="M129">
        <v>4.8</v>
      </c>
      <c r="N129">
        <f t="shared" si="3"/>
        <v>4.8</v>
      </c>
      <c r="O129">
        <v>697155.3</v>
      </c>
      <c r="P129">
        <v>136408.54</v>
      </c>
    </row>
    <row r="130" spans="1:16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f t="shared" si="2"/>
        <v>1.1000000000000001</v>
      </c>
      <c r="L130">
        <v>1</v>
      </c>
      <c r="M130">
        <v>4.4000000000000004</v>
      </c>
      <c r="N130">
        <f t="shared" si="3"/>
        <v>4.4000000000000004</v>
      </c>
      <c r="O130">
        <v>849018.3</v>
      </c>
      <c r="P130">
        <v>149035.13</v>
      </c>
    </row>
    <row r="131" spans="1:16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f t="shared" ref="K131:K194" si="4">IF(J131="",AVERAGE(J131:J450),J131)</f>
        <v>0.21</v>
      </c>
      <c r="L131">
        <v>0</v>
      </c>
      <c r="M131">
        <v>4</v>
      </c>
      <c r="N131">
        <f t="shared" ref="N131:N194" si="5">IF(M131="",AVERAGE(M131:M450),M131)</f>
        <v>4</v>
      </c>
      <c r="O131">
        <v>801830.35</v>
      </c>
      <c r="P131">
        <v>114875.32</v>
      </c>
    </row>
    <row r="132" spans="1:16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f t="shared" si="4"/>
        <v>5.12</v>
      </c>
      <c r="L132">
        <v>1</v>
      </c>
      <c r="M132">
        <v>4.5</v>
      </c>
      <c r="N132">
        <f t="shared" si="5"/>
        <v>4.5</v>
      </c>
      <c r="O132">
        <v>725235.28</v>
      </c>
      <c r="P132">
        <v>121632.24</v>
      </c>
    </row>
    <row r="133" spans="1:16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f t="shared" si="4"/>
        <v>9.77</v>
      </c>
      <c r="L133">
        <v>0</v>
      </c>
      <c r="M133">
        <v>4.5</v>
      </c>
      <c r="N133">
        <f t="shared" si="5"/>
        <v>4.5</v>
      </c>
      <c r="O133">
        <v>811452.72</v>
      </c>
      <c r="P133">
        <v>131325.67000000001</v>
      </c>
    </row>
    <row r="134" spans="1:16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f t="shared" si="4"/>
        <v>3.77</v>
      </c>
      <c r="L134">
        <v>0</v>
      </c>
      <c r="M134">
        <v>4.4000000000000004</v>
      </c>
      <c r="N134">
        <f t="shared" si="5"/>
        <v>4.4000000000000004</v>
      </c>
      <c r="O134">
        <v>527300.13</v>
      </c>
      <c r="P134">
        <v>84197.87</v>
      </c>
    </row>
    <row r="135" spans="1:16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f t="shared" si="4"/>
        <v>0.78</v>
      </c>
      <c r="L135">
        <v>0</v>
      </c>
      <c r="N135" s="4">
        <f t="shared" si="5"/>
        <v>3.8767955801104983</v>
      </c>
      <c r="O135">
        <v>400831.65</v>
      </c>
      <c r="P135">
        <v>70979.31</v>
      </c>
    </row>
    <row r="136" spans="1:16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f t="shared" si="4"/>
        <v>5.17</v>
      </c>
      <c r="L136">
        <v>1</v>
      </c>
      <c r="M136">
        <v>4.4000000000000004</v>
      </c>
      <c r="N136">
        <f t="shared" si="5"/>
        <v>4.4000000000000004</v>
      </c>
      <c r="O136">
        <v>593247.25</v>
      </c>
      <c r="P136">
        <v>81240.289999999994</v>
      </c>
    </row>
    <row r="137" spans="1:16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f t="shared" si="4"/>
        <v>3.2</v>
      </c>
      <c r="L137">
        <v>0</v>
      </c>
      <c r="M137">
        <v>4.5999999999999996</v>
      </c>
      <c r="N137">
        <f t="shared" si="5"/>
        <v>4.5999999999999996</v>
      </c>
      <c r="O137">
        <v>529075.94999999995</v>
      </c>
      <c r="P137">
        <v>95978.83</v>
      </c>
    </row>
    <row r="138" spans="1:16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f t="shared" si="4"/>
        <v>3.4</v>
      </c>
      <c r="L138">
        <v>0</v>
      </c>
      <c r="N138" s="4">
        <f t="shared" si="5"/>
        <v>3.8698324022346382</v>
      </c>
      <c r="O138">
        <v>633638.03</v>
      </c>
      <c r="P138">
        <v>99402.01</v>
      </c>
    </row>
    <row r="139" spans="1:16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f t="shared" si="4"/>
        <v>7.38</v>
      </c>
      <c r="L139">
        <v>0</v>
      </c>
      <c r="M139">
        <v>3.7</v>
      </c>
      <c r="N139">
        <f t="shared" si="5"/>
        <v>3.7</v>
      </c>
      <c r="O139">
        <v>743348.84</v>
      </c>
      <c r="P139">
        <v>104186.09</v>
      </c>
    </row>
    <row r="140" spans="1:16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f t="shared" si="4"/>
        <v>0.85</v>
      </c>
      <c r="L140">
        <v>1</v>
      </c>
      <c r="M140">
        <v>3.3</v>
      </c>
      <c r="N140">
        <f t="shared" si="5"/>
        <v>3.3</v>
      </c>
      <c r="O140">
        <v>758827.64</v>
      </c>
      <c r="P140">
        <v>161439.48000000001</v>
      </c>
    </row>
    <row r="141" spans="1:16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f t="shared" si="4"/>
        <v>2.89</v>
      </c>
      <c r="L141">
        <v>0</v>
      </c>
      <c r="M141">
        <v>3.6</v>
      </c>
      <c r="N141">
        <f t="shared" si="5"/>
        <v>3.6</v>
      </c>
      <c r="O141">
        <v>646559.71</v>
      </c>
      <c r="P141">
        <v>97981.75</v>
      </c>
    </row>
    <row r="142" spans="1:16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f t="shared" si="4"/>
        <v>0.77</v>
      </c>
      <c r="L142">
        <v>0</v>
      </c>
      <c r="M142">
        <v>4.0999999999999996</v>
      </c>
      <c r="N142">
        <f t="shared" si="5"/>
        <v>4.0999999999999996</v>
      </c>
      <c r="O142">
        <v>715890.53</v>
      </c>
      <c r="P142">
        <v>109032.15</v>
      </c>
    </row>
    <row r="143" spans="1:16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f t="shared" si="4"/>
        <v>2.92</v>
      </c>
      <c r="L143">
        <v>0</v>
      </c>
      <c r="M143">
        <v>4.2</v>
      </c>
      <c r="N143">
        <f t="shared" si="5"/>
        <v>4.2</v>
      </c>
      <c r="O143">
        <v>715097.57</v>
      </c>
      <c r="P143">
        <v>151875.85999999999</v>
      </c>
    </row>
    <row r="144" spans="1:16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f t="shared" si="4"/>
        <v>3.07</v>
      </c>
      <c r="L144">
        <v>0</v>
      </c>
      <c r="M144">
        <v>3.8</v>
      </c>
      <c r="N144">
        <f t="shared" si="5"/>
        <v>3.8</v>
      </c>
      <c r="O144">
        <v>682639.28</v>
      </c>
      <c r="P144">
        <v>77557.53</v>
      </c>
    </row>
    <row r="145" spans="1:16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f t="shared" si="4"/>
        <v>9.6999999999999993</v>
      </c>
      <c r="L145">
        <v>0</v>
      </c>
      <c r="M145">
        <v>3.9</v>
      </c>
      <c r="N145">
        <f t="shared" si="5"/>
        <v>3.9</v>
      </c>
      <c r="O145">
        <v>695098.51</v>
      </c>
      <c r="P145">
        <v>108192.75</v>
      </c>
    </row>
    <row r="146" spans="1:16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f t="shared" si="4"/>
        <v>3.71</v>
      </c>
      <c r="L146">
        <v>0</v>
      </c>
      <c r="M146">
        <v>3.2</v>
      </c>
      <c r="N146">
        <f t="shared" si="5"/>
        <v>3.2</v>
      </c>
      <c r="O146">
        <v>577732.56999999995</v>
      </c>
      <c r="P146">
        <v>93804.27</v>
      </c>
    </row>
    <row r="147" spans="1:16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f t="shared" si="4"/>
        <v>10.79</v>
      </c>
      <c r="L147">
        <v>0</v>
      </c>
      <c r="M147">
        <v>3.5</v>
      </c>
      <c r="N147">
        <f t="shared" si="5"/>
        <v>3.5</v>
      </c>
      <c r="O147">
        <v>537058.32999999996</v>
      </c>
      <c r="P147">
        <v>93555.71</v>
      </c>
    </row>
    <row r="148" spans="1:16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f t="shared" si="4"/>
        <v>6.03</v>
      </c>
      <c r="L148">
        <v>0</v>
      </c>
      <c r="M148">
        <v>3.4</v>
      </c>
      <c r="N148">
        <f t="shared" si="5"/>
        <v>3.4</v>
      </c>
      <c r="O148">
        <v>601568.87</v>
      </c>
      <c r="P148">
        <v>91634.82</v>
      </c>
    </row>
    <row r="149" spans="1:16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f t="shared" si="4"/>
        <v>4.92</v>
      </c>
      <c r="L149">
        <v>0</v>
      </c>
      <c r="M149">
        <v>3.4</v>
      </c>
      <c r="N149">
        <f t="shared" si="5"/>
        <v>3.4</v>
      </c>
      <c r="O149">
        <v>570964.84</v>
      </c>
      <c r="P149">
        <v>81331.070000000007</v>
      </c>
    </row>
    <row r="150" spans="1:16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f t="shared" si="4"/>
        <v>19.78</v>
      </c>
      <c r="L150">
        <v>0</v>
      </c>
      <c r="M150">
        <v>3.8</v>
      </c>
      <c r="N150">
        <f t="shared" si="5"/>
        <v>3.8</v>
      </c>
      <c r="O150">
        <v>614024.91</v>
      </c>
      <c r="P150">
        <v>84828.93</v>
      </c>
    </row>
    <row r="151" spans="1:16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f t="shared" si="4"/>
        <v>5.45</v>
      </c>
      <c r="L151">
        <v>0</v>
      </c>
      <c r="M151">
        <v>4.0999999999999996</v>
      </c>
      <c r="N151">
        <f t="shared" si="5"/>
        <v>4.0999999999999996</v>
      </c>
      <c r="O151">
        <v>712868.35</v>
      </c>
      <c r="P151">
        <v>133650.51</v>
      </c>
    </row>
    <row r="152" spans="1:16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f t="shared" si="4"/>
        <v>2.33</v>
      </c>
      <c r="L152">
        <v>1</v>
      </c>
      <c r="M152">
        <v>3.7</v>
      </c>
      <c r="N152">
        <f t="shared" si="5"/>
        <v>3.7</v>
      </c>
      <c r="O152">
        <v>696744.15</v>
      </c>
      <c r="P152">
        <v>152230.09</v>
      </c>
    </row>
    <row r="153" spans="1:16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f t="shared" si="4"/>
        <v>3.55</v>
      </c>
      <c r="L153">
        <v>0</v>
      </c>
      <c r="M153">
        <v>4.0999999999999996</v>
      </c>
      <c r="N153">
        <f t="shared" si="5"/>
        <v>4.0999999999999996</v>
      </c>
      <c r="O153">
        <v>725847.99</v>
      </c>
      <c r="P153">
        <v>122698.73</v>
      </c>
    </row>
    <row r="154" spans="1:16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f t="shared" si="4"/>
        <v>0.2</v>
      </c>
      <c r="L154">
        <v>0</v>
      </c>
      <c r="M154">
        <v>4.5</v>
      </c>
      <c r="N154">
        <f t="shared" si="5"/>
        <v>4.5</v>
      </c>
      <c r="O154">
        <v>785028.25</v>
      </c>
      <c r="P154">
        <v>110726.44</v>
      </c>
    </row>
    <row r="155" spans="1:16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f t="shared" si="4"/>
        <v>2.09</v>
      </c>
      <c r="L155">
        <v>0</v>
      </c>
      <c r="M155">
        <v>4.2</v>
      </c>
      <c r="N155">
        <f t="shared" si="5"/>
        <v>4.2</v>
      </c>
      <c r="O155">
        <v>698492.67</v>
      </c>
      <c r="P155">
        <v>117319.32</v>
      </c>
    </row>
    <row r="156" spans="1:16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f t="shared" si="4"/>
        <v>2.2599999999999998</v>
      </c>
      <c r="L156">
        <v>0</v>
      </c>
      <c r="M156">
        <v>4.2</v>
      </c>
      <c r="N156">
        <f t="shared" si="5"/>
        <v>4.2</v>
      </c>
      <c r="O156">
        <v>685830.24</v>
      </c>
      <c r="P156">
        <v>128736.18</v>
      </c>
    </row>
    <row r="157" spans="1:16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f t="shared" si="4"/>
        <v>0.44</v>
      </c>
      <c r="L157">
        <v>0</v>
      </c>
      <c r="M157">
        <v>4.4000000000000004</v>
      </c>
      <c r="N157">
        <f t="shared" si="5"/>
        <v>4.4000000000000004</v>
      </c>
      <c r="O157">
        <v>702318.94</v>
      </c>
      <c r="P157">
        <v>112829.29</v>
      </c>
    </row>
    <row r="158" spans="1:16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f t="shared" si="4"/>
        <v>3.08</v>
      </c>
      <c r="L158">
        <v>0</v>
      </c>
      <c r="M158">
        <v>3.9</v>
      </c>
      <c r="N158">
        <f t="shared" si="5"/>
        <v>3.9</v>
      </c>
      <c r="O158">
        <v>700078.32</v>
      </c>
      <c r="P158">
        <v>123707.58</v>
      </c>
    </row>
    <row r="159" spans="1:16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f t="shared" si="4"/>
        <v>7.99</v>
      </c>
      <c r="L159">
        <v>0</v>
      </c>
      <c r="M159">
        <v>3</v>
      </c>
      <c r="N159">
        <f t="shared" si="5"/>
        <v>3</v>
      </c>
      <c r="O159">
        <v>602002.31999999995</v>
      </c>
      <c r="P159">
        <v>110453.28</v>
      </c>
    </row>
    <row r="160" spans="1:16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f t="shared" si="4"/>
        <v>0.2</v>
      </c>
      <c r="L160">
        <v>0</v>
      </c>
      <c r="M160">
        <v>3.4</v>
      </c>
      <c r="N160">
        <f t="shared" si="5"/>
        <v>3.4</v>
      </c>
      <c r="O160">
        <v>724216.07</v>
      </c>
      <c r="P160">
        <v>100627.56</v>
      </c>
    </row>
    <row r="161" spans="1:16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f t="shared" si="4"/>
        <v>5.46</v>
      </c>
      <c r="L161">
        <v>0</v>
      </c>
      <c r="M161">
        <v>3.3</v>
      </c>
      <c r="N161">
        <f t="shared" si="5"/>
        <v>3.3</v>
      </c>
      <c r="O161">
        <v>620973.03</v>
      </c>
      <c r="P161">
        <v>72303.850000000006</v>
      </c>
    </row>
    <row r="162" spans="1:16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f t="shared" si="4"/>
        <v>4.05</v>
      </c>
      <c r="L162">
        <v>0</v>
      </c>
      <c r="M162">
        <v>4</v>
      </c>
      <c r="N162">
        <f t="shared" si="5"/>
        <v>4</v>
      </c>
      <c r="O162">
        <v>650480.06000000006</v>
      </c>
      <c r="P162">
        <v>109012.07</v>
      </c>
    </row>
    <row r="163" spans="1:16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f t="shared" si="4"/>
        <v>4.3600000000000003</v>
      </c>
      <c r="L163">
        <v>0</v>
      </c>
      <c r="M163">
        <v>4.2</v>
      </c>
      <c r="N163">
        <f t="shared" si="5"/>
        <v>4.2</v>
      </c>
      <c r="O163">
        <v>778298.88</v>
      </c>
      <c r="P163">
        <v>130076.72</v>
      </c>
    </row>
    <row r="164" spans="1:16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 s="3">
        <f t="shared" si="4"/>
        <v>4.3887012987013012</v>
      </c>
      <c r="L164">
        <v>0</v>
      </c>
      <c r="M164">
        <v>4.2</v>
      </c>
      <c r="N164">
        <f t="shared" si="5"/>
        <v>4.2</v>
      </c>
      <c r="O164">
        <v>677096.71</v>
      </c>
      <c r="P164">
        <v>97174.11</v>
      </c>
    </row>
    <row r="165" spans="1:16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f t="shared" si="4"/>
        <v>0.54</v>
      </c>
      <c r="L165">
        <v>0</v>
      </c>
      <c r="M165">
        <v>4.3</v>
      </c>
      <c r="N165">
        <f t="shared" si="5"/>
        <v>4.3</v>
      </c>
      <c r="O165">
        <v>692008.64</v>
      </c>
      <c r="P165">
        <v>116337.87</v>
      </c>
    </row>
    <row r="166" spans="1:16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f t="shared" si="4"/>
        <v>11.37</v>
      </c>
      <c r="L166">
        <v>1</v>
      </c>
      <c r="M166">
        <v>4.3</v>
      </c>
      <c r="N166">
        <f t="shared" si="5"/>
        <v>4.3</v>
      </c>
      <c r="O166">
        <v>825797.91</v>
      </c>
      <c r="P166">
        <v>130945.24</v>
      </c>
    </row>
    <row r="167" spans="1:16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f t="shared" si="4"/>
        <v>9.43</v>
      </c>
      <c r="L167">
        <v>0</v>
      </c>
      <c r="M167">
        <v>4.2</v>
      </c>
      <c r="N167">
        <f t="shared" si="5"/>
        <v>4.2</v>
      </c>
      <c r="O167">
        <v>706285.52</v>
      </c>
      <c r="P167">
        <v>138014.72</v>
      </c>
    </row>
    <row r="168" spans="1:16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f t="shared" si="4"/>
        <v>3.49</v>
      </c>
      <c r="L168">
        <v>0</v>
      </c>
      <c r="M168">
        <v>4</v>
      </c>
      <c r="N168">
        <f t="shared" si="5"/>
        <v>4</v>
      </c>
      <c r="O168">
        <v>665534.69999999995</v>
      </c>
      <c r="P168">
        <v>113167.73</v>
      </c>
    </row>
    <row r="169" spans="1:16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f t="shared" si="4"/>
        <v>7.86</v>
      </c>
      <c r="L169">
        <v>0</v>
      </c>
      <c r="M169">
        <v>4.0999999999999996</v>
      </c>
      <c r="N169">
        <f t="shared" si="5"/>
        <v>4.0999999999999996</v>
      </c>
      <c r="O169">
        <v>820729.29</v>
      </c>
      <c r="P169">
        <v>159325.47</v>
      </c>
    </row>
    <row r="170" spans="1:16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f t="shared" si="4"/>
        <v>12.55</v>
      </c>
      <c r="L170">
        <v>0</v>
      </c>
      <c r="M170">
        <v>4.9000000000000004</v>
      </c>
      <c r="N170">
        <f t="shared" si="5"/>
        <v>4.9000000000000004</v>
      </c>
      <c r="O170">
        <v>739831.73</v>
      </c>
      <c r="P170">
        <v>119490.21</v>
      </c>
    </row>
    <row r="171" spans="1:16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f t="shared" si="4"/>
        <v>3.48</v>
      </c>
      <c r="L171">
        <v>0</v>
      </c>
      <c r="M171">
        <v>5</v>
      </c>
      <c r="N171">
        <f t="shared" si="5"/>
        <v>5</v>
      </c>
      <c r="O171">
        <v>593637.14</v>
      </c>
      <c r="P171">
        <v>106648.14</v>
      </c>
    </row>
    <row r="172" spans="1:16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f t="shared" si="4"/>
        <v>7.73</v>
      </c>
      <c r="L172">
        <v>0</v>
      </c>
      <c r="M172">
        <v>4.9000000000000004</v>
      </c>
      <c r="N172">
        <f t="shared" si="5"/>
        <v>4.9000000000000004</v>
      </c>
      <c r="O172">
        <v>769702.76</v>
      </c>
      <c r="P172">
        <v>158697</v>
      </c>
    </row>
    <row r="173" spans="1:16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f t="shared" si="4"/>
        <v>0.25</v>
      </c>
      <c r="L173">
        <v>0</v>
      </c>
      <c r="M173">
        <v>4.4000000000000004</v>
      </c>
      <c r="N173">
        <f t="shared" si="5"/>
        <v>4.4000000000000004</v>
      </c>
      <c r="O173">
        <v>679731.57</v>
      </c>
      <c r="P173">
        <v>121546.42</v>
      </c>
    </row>
    <row r="174" spans="1:16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f t="shared" si="4"/>
        <v>6.43</v>
      </c>
      <c r="L174">
        <v>0</v>
      </c>
      <c r="M174">
        <v>3.3</v>
      </c>
      <c r="N174">
        <f t="shared" si="5"/>
        <v>3.3</v>
      </c>
      <c r="O174">
        <v>780344.18</v>
      </c>
      <c r="P174">
        <v>118239.09</v>
      </c>
    </row>
    <row r="175" spans="1:16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f t="shared" si="4"/>
        <v>2.11</v>
      </c>
      <c r="L175">
        <v>0</v>
      </c>
      <c r="M175">
        <v>3.1</v>
      </c>
      <c r="N175">
        <f t="shared" si="5"/>
        <v>3.1</v>
      </c>
      <c r="O175">
        <v>721364.11</v>
      </c>
      <c r="P175">
        <v>147272.81</v>
      </c>
    </row>
    <row r="176" spans="1:16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f t="shared" si="4"/>
        <v>9.1199999999999992</v>
      </c>
      <c r="L176">
        <v>0</v>
      </c>
      <c r="M176">
        <v>3.6</v>
      </c>
      <c r="N176">
        <f t="shared" si="5"/>
        <v>3.6</v>
      </c>
      <c r="O176">
        <v>758138.29</v>
      </c>
      <c r="P176">
        <v>132975.26</v>
      </c>
    </row>
    <row r="177" spans="1:16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f t="shared" si="4"/>
        <v>2.71</v>
      </c>
      <c r="L177">
        <v>0</v>
      </c>
      <c r="M177">
        <v>3.1</v>
      </c>
      <c r="N177">
        <f t="shared" si="5"/>
        <v>3.1</v>
      </c>
      <c r="O177">
        <v>804264</v>
      </c>
      <c r="P177">
        <v>167117.91</v>
      </c>
    </row>
    <row r="178" spans="1:16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f t="shared" si="4"/>
        <v>3.65</v>
      </c>
      <c r="L178">
        <v>1</v>
      </c>
      <c r="M178">
        <v>3.7</v>
      </c>
      <c r="N178">
        <f t="shared" si="5"/>
        <v>3.7</v>
      </c>
      <c r="O178">
        <v>887537.75</v>
      </c>
      <c r="P178">
        <v>160362.92000000001</v>
      </c>
    </row>
    <row r="179" spans="1:16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f t="shared" si="4"/>
        <v>7.86</v>
      </c>
      <c r="L179">
        <v>0</v>
      </c>
      <c r="M179">
        <v>4</v>
      </c>
      <c r="N179">
        <f t="shared" si="5"/>
        <v>4</v>
      </c>
      <c r="O179">
        <v>783582</v>
      </c>
      <c r="P179">
        <v>130670.93</v>
      </c>
    </row>
    <row r="180" spans="1:16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f t="shared" si="4"/>
        <v>0.3</v>
      </c>
      <c r="L180">
        <v>0</v>
      </c>
      <c r="M180">
        <v>4.0999999999999996</v>
      </c>
      <c r="N180">
        <f t="shared" si="5"/>
        <v>4.0999999999999996</v>
      </c>
      <c r="O180">
        <v>781955.52</v>
      </c>
      <c r="P180">
        <v>152578.71</v>
      </c>
    </row>
    <row r="181" spans="1:16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f t="shared" si="4"/>
        <v>8.44</v>
      </c>
      <c r="L181">
        <v>0</v>
      </c>
      <c r="M181">
        <v>4.0999999999999996</v>
      </c>
      <c r="N181">
        <f t="shared" si="5"/>
        <v>4.0999999999999996</v>
      </c>
      <c r="O181">
        <v>898031.04</v>
      </c>
      <c r="P181">
        <v>138666.5</v>
      </c>
    </row>
    <row r="182" spans="1:16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f t="shared" si="4"/>
        <v>5.27</v>
      </c>
      <c r="L182">
        <v>1</v>
      </c>
      <c r="M182">
        <v>3.9</v>
      </c>
      <c r="N182">
        <f t="shared" si="5"/>
        <v>3.9</v>
      </c>
      <c r="O182">
        <v>855341.28</v>
      </c>
      <c r="P182">
        <v>175823.8</v>
      </c>
    </row>
    <row r="183" spans="1:16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f t="shared" si="4"/>
        <v>13.22</v>
      </c>
      <c r="L183">
        <v>0</v>
      </c>
      <c r="M183">
        <v>3.6</v>
      </c>
      <c r="N183">
        <f t="shared" si="5"/>
        <v>3.6</v>
      </c>
      <c r="O183">
        <v>751393.88</v>
      </c>
      <c r="P183">
        <v>91480.320000000007</v>
      </c>
    </row>
    <row r="184" spans="1:16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f t="shared" si="4"/>
        <v>1.02</v>
      </c>
      <c r="L184">
        <v>1</v>
      </c>
      <c r="M184">
        <v>3.8</v>
      </c>
      <c r="N184">
        <f t="shared" si="5"/>
        <v>3.8</v>
      </c>
      <c r="O184">
        <v>761077.08</v>
      </c>
      <c r="P184">
        <v>113605.93</v>
      </c>
    </row>
    <row r="185" spans="1:16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f t="shared" si="4"/>
        <v>4.03</v>
      </c>
      <c r="L185">
        <v>0</v>
      </c>
      <c r="M185">
        <v>3.1</v>
      </c>
      <c r="N185">
        <f t="shared" si="5"/>
        <v>3.1</v>
      </c>
      <c r="O185">
        <v>819660.59</v>
      </c>
      <c r="P185">
        <v>172699.95</v>
      </c>
    </row>
    <row r="186" spans="1:16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f t="shared" si="4"/>
        <v>2.34</v>
      </c>
      <c r="L186">
        <v>0</v>
      </c>
      <c r="M186">
        <v>4.4000000000000004</v>
      </c>
      <c r="N186">
        <f t="shared" si="5"/>
        <v>4.4000000000000004</v>
      </c>
      <c r="O186">
        <v>681855.56</v>
      </c>
      <c r="P186">
        <v>117645.61</v>
      </c>
    </row>
    <row r="187" spans="1:16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f t="shared" si="4"/>
        <v>8.51</v>
      </c>
      <c r="L187">
        <v>0</v>
      </c>
      <c r="M187">
        <v>4.4000000000000004</v>
      </c>
      <c r="N187">
        <f t="shared" si="5"/>
        <v>4.4000000000000004</v>
      </c>
      <c r="O187">
        <v>678311.17</v>
      </c>
      <c r="P187">
        <v>132029.76000000001</v>
      </c>
    </row>
    <row r="188" spans="1:16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f t="shared" si="4"/>
        <v>0.48</v>
      </c>
      <c r="L188">
        <v>1</v>
      </c>
      <c r="M188">
        <v>4.3</v>
      </c>
      <c r="N188">
        <f t="shared" si="5"/>
        <v>4.3</v>
      </c>
      <c r="O188">
        <v>765906.95</v>
      </c>
      <c r="P188">
        <v>114005.9</v>
      </c>
    </row>
    <row r="189" spans="1:16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f t="shared" si="4"/>
        <v>13.62</v>
      </c>
      <c r="L189">
        <v>0</v>
      </c>
      <c r="M189">
        <v>4.2</v>
      </c>
      <c r="N189">
        <f t="shared" si="5"/>
        <v>4.2</v>
      </c>
      <c r="O189">
        <v>712546.38</v>
      </c>
      <c r="P189">
        <v>101480.04</v>
      </c>
    </row>
    <row r="190" spans="1:16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f t="shared" si="4"/>
        <v>7.77</v>
      </c>
      <c r="L190">
        <v>0</v>
      </c>
      <c r="M190">
        <v>4.0999999999999996</v>
      </c>
      <c r="N190">
        <f t="shared" si="5"/>
        <v>4.0999999999999996</v>
      </c>
      <c r="O190">
        <v>625993.82999999996</v>
      </c>
      <c r="P190">
        <v>98960.320000000007</v>
      </c>
    </row>
    <row r="191" spans="1:16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f t="shared" si="4"/>
        <v>1.99</v>
      </c>
      <c r="L191">
        <v>0</v>
      </c>
      <c r="M191">
        <v>3.8</v>
      </c>
      <c r="N191">
        <f t="shared" si="5"/>
        <v>3.8</v>
      </c>
      <c r="O191">
        <v>550962.93000000005</v>
      </c>
      <c r="P191">
        <v>97144.58</v>
      </c>
    </row>
    <row r="192" spans="1:16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f t="shared" si="4"/>
        <v>4.7699999999999996</v>
      </c>
      <c r="L192">
        <v>0</v>
      </c>
      <c r="M192">
        <v>3.8</v>
      </c>
      <c r="N192">
        <f t="shared" si="5"/>
        <v>3.8</v>
      </c>
      <c r="O192">
        <v>443275.59</v>
      </c>
      <c r="P192">
        <v>53544.36</v>
      </c>
    </row>
    <row r="193" spans="1:16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f t="shared" si="4"/>
        <v>0.2</v>
      </c>
      <c r="L193">
        <v>0</v>
      </c>
      <c r="M193">
        <v>4.4000000000000004</v>
      </c>
      <c r="N193">
        <f t="shared" si="5"/>
        <v>4.4000000000000004</v>
      </c>
      <c r="O193">
        <v>554012.06999999995</v>
      </c>
      <c r="P193">
        <v>81101.62</v>
      </c>
    </row>
    <row r="194" spans="1:16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f t="shared" si="4"/>
        <v>0.53</v>
      </c>
      <c r="L194">
        <v>0</v>
      </c>
      <c r="M194">
        <v>3.2</v>
      </c>
      <c r="N194">
        <f t="shared" si="5"/>
        <v>3.2</v>
      </c>
      <c r="O194">
        <v>643428.85</v>
      </c>
      <c r="P194">
        <v>94477.63</v>
      </c>
    </row>
    <row r="195" spans="1:16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f t="shared" ref="K195:K258" si="6">IF(J195="",AVERAGE(J195:J514),J195)</f>
        <v>1.54</v>
      </c>
      <c r="L195">
        <v>0</v>
      </c>
      <c r="M195">
        <v>3.2</v>
      </c>
      <c r="N195">
        <f t="shared" ref="N195:N258" si="7">IF(M195="",AVERAGE(M195:M514),M195)</f>
        <v>3.2</v>
      </c>
      <c r="O195">
        <v>611924.27</v>
      </c>
      <c r="P195">
        <v>115488.75</v>
      </c>
    </row>
    <row r="196" spans="1:16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f t="shared" si="6"/>
        <v>3.63</v>
      </c>
      <c r="L196">
        <v>0</v>
      </c>
      <c r="M196">
        <v>3.7</v>
      </c>
      <c r="N196">
        <f t="shared" si="7"/>
        <v>3.7</v>
      </c>
      <c r="O196">
        <v>559422.02</v>
      </c>
      <c r="P196">
        <v>73528.740000000005</v>
      </c>
    </row>
    <row r="197" spans="1:16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f t="shared" si="6"/>
        <v>13.48</v>
      </c>
      <c r="L197">
        <v>0</v>
      </c>
      <c r="N197" s="4">
        <f t="shared" si="7"/>
        <v>3.8561983471074379</v>
      </c>
      <c r="O197">
        <v>449465.06</v>
      </c>
      <c r="P197">
        <v>65694.78</v>
      </c>
    </row>
    <row r="198" spans="1:16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f t="shared" si="6"/>
        <v>0.2</v>
      </c>
      <c r="L198">
        <v>0</v>
      </c>
      <c r="M198">
        <v>4.2</v>
      </c>
      <c r="N198">
        <f t="shared" si="7"/>
        <v>4.2</v>
      </c>
      <c r="O198">
        <v>691447.43</v>
      </c>
      <c r="P198">
        <v>114077.69</v>
      </c>
    </row>
    <row r="199" spans="1:16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f t="shared" si="6"/>
        <v>12.82</v>
      </c>
      <c r="L199">
        <v>0</v>
      </c>
      <c r="M199">
        <v>4.5999999999999996</v>
      </c>
      <c r="N199">
        <f t="shared" si="7"/>
        <v>4.5999999999999996</v>
      </c>
      <c r="O199">
        <v>574066.61</v>
      </c>
      <c r="P199">
        <v>124674.67</v>
      </c>
    </row>
    <row r="200" spans="1:16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f t="shared" si="6"/>
        <v>2.2400000000000002</v>
      </c>
      <c r="L200">
        <v>1</v>
      </c>
      <c r="M200">
        <v>4.3</v>
      </c>
      <c r="N200">
        <f t="shared" si="7"/>
        <v>4.3</v>
      </c>
      <c r="O200">
        <v>578949.84</v>
      </c>
      <c r="P200">
        <v>80253.649999999994</v>
      </c>
    </row>
    <row r="201" spans="1:16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f t="shared" si="6"/>
        <v>1.8</v>
      </c>
      <c r="L201">
        <v>0</v>
      </c>
      <c r="M201">
        <v>4.8</v>
      </c>
      <c r="N201">
        <f t="shared" si="7"/>
        <v>4.8</v>
      </c>
      <c r="O201">
        <v>735786.64</v>
      </c>
      <c r="P201">
        <v>126540.66</v>
      </c>
    </row>
    <row r="202" spans="1:16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f t="shared" si="6"/>
        <v>0.41</v>
      </c>
      <c r="L202">
        <v>1</v>
      </c>
      <c r="M202">
        <v>4.5999999999999996</v>
      </c>
      <c r="N202">
        <f t="shared" si="7"/>
        <v>4.5999999999999996</v>
      </c>
      <c r="O202">
        <v>598904.9</v>
      </c>
      <c r="P202">
        <v>72861</v>
      </c>
    </row>
    <row r="203" spans="1:16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f t="shared" si="6"/>
        <v>3.05</v>
      </c>
      <c r="L203">
        <v>0</v>
      </c>
      <c r="M203">
        <v>4.8</v>
      </c>
      <c r="N203">
        <f t="shared" si="7"/>
        <v>4.8</v>
      </c>
      <c r="O203">
        <v>787715.51</v>
      </c>
      <c r="P203">
        <v>128969.62</v>
      </c>
    </row>
    <row r="204" spans="1:16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f t="shared" si="6"/>
        <v>8.44</v>
      </c>
      <c r="L204">
        <v>1</v>
      </c>
      <c r="M204">
        <v>5</v>
      </c>
      <c r="N204">
        <f t="shared" si="7"/>
        <v>5</v>
      </c>
      <c r="O204">
        <v>607084.92000000004</v>
      </c>
      <c r="P204">
        <v>98558.49</v>
      </c>
    </row>
    <row r="205" spans="1:16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f t="shared" si="6"/>
        <v>0.78</v>
      </c>
      <c r="L205">
        <v>0</v>
      </c>
      <c r="M205">
        <v>4</v>
      </c>
      <c r="N205">
        <f t="shared" si="7"/>
        <v>4</v>
      </c>
      <c r="O205">
        <v>650795.49</v>
      </c>
      <c r="P205">
        <v>103035.89</v>
      </c>
    </row>
    <row r="206" spans="1:16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f t="shared" si="6"/>
        <v>0.87</v>
      </c>
      <c r="L206">
        <v>0</v>
      </c>
      <c r="M206">
        <v>3.7</v>
      </c>
      <c r="N206">
        <f t="shared" si="7"/>
        <v>3.7</v>
      </c>
      <c r="O206">
        <v>825060.52</v>
      </c>
      <c r="P206">
        <v>143613.15</v>
      </c>
    </row>
    <row r="207" spans="1:16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f t="shared" si="6"/>
        <v>0.95</v>
      </c>
      <c r="L207">
        <v>0</v>
      </c>
      <c r="M207">
        <v>3.7</v>
      </c>
      <c r="N207">
        <f t="shared" si="7"/>
        <v>3.7</v>
      </c>
      <c r="O207">
        <v>795464.47</v>
      </c>
      <c r="P207">
        <v>161150.51999999999</v>
      </c>
    </row>
    <row r="208" spans="1:16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f t="shared" si="6"/>
        <v>3.82</v>
      </c>
      <c r="L208">
        <v>0</v>
      </c>
      <c r="M208">
        <v>3.7</v>
      </c>
      <c r="N208">
        <f t="shared" si="7"/>
        <v>3.7</v>
      </c>
      <c r="O208">
        <v>671868.59</v>
      </c>
      <c r="P208">
        <v>71003.28</v>
      </c>
    </row>
    <row r="209" spans="1:16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f t="shared" si="6"/>
        <v>2.7</v>
      </c>
      <c r="L209">
        <v>0</v>
      </c>
      <c r="M209">
        <v>3.7</v>
      </c>
      <c r="N209">
        <f t="shared" si="7"/>
        <v>3.7</v>
      </c>
      <c r="O209">
        <v>675917.63</v>
      </c>
      <c r="P209">
        <v>112564.75</v>
      </c>
    </row>
    <row r="210" spans="1:16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f t="shared" si="6"/>
        <v>3.84</v>
      </c>
      <c r="L210">
        <v>1</v>
      </c>
      <c r="M210">
        <v>3.7</v>
      </c>
      <c r="N210">
        <f t="shared" si="7"/>
        <v>3.7</v>
      </c>
      <c r="O210">
        <v>810446.53</v>
      </c>
      <c r="P210">
        <v>200575.34</v>
      </c>
    </row>
    <row r="211" spans="1:16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f t="shared" si="6"/>
        <v>5.09</v>
      </c>
      <c r="L211">
        <v>0</v>
      </c>
      <c r="M211">
        <v>3.3</v>
      </c>
      <c r="N211">
        <f t="shared" si="7"/>
        <v>3.3</v>
      </c>
      <c r="O211">
        <v>691288.19</v>
      </c>
      <c r="P211">
        <v>159074.14000000001</v>
      </c>
    </row>
    <row r="212" spans="1:16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f t="shared" si="6"/>
        <v>3.82</v>
      </c>
      <c r="L212">
        <v>1</v>
      </c>
      <c r="M212">
        <v>3.7</v>
      </c>
      <c r="N212">
        <f t="shared" si="7"/>
        <v>3.7</v>
      </c>
      <c r="O212">
        <v>946833.54</v>
      </c>
      <c r="P212">
        <v>184540.31</v>
      </c>
    </row>
    <row r="213" spans="1:16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f t="shared" si="6"/>
        <v>12.28</v>
      </c>
      <c r="L213">
        <v>0</v>
      </c>
      <c r="M213">
        <v>4.0999999999999996</v>
      </c>
      <c r="N213">
        <f t="shared" si="7"/>
        <v>4.0999999999999996</v>
      </c>
      <c r="O213">
        <v>761963.23</v>
      </c>
      <c r="P213">
        <v>150113.60999999999</v>
      </c>
    </row>
    <row r="214" spans="1:16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f t="shared" si="6"/>
        <v>2.8</v>
      </c>
      <c r="L214">
        <v>0</v>
      </c>
      <c r="M214">
        <v>4.3</v>
      </c>
      <c r="N214">
        <f t="shared" si="7"/>
        <v>4.3</v>
      </c>
      <c r="O214">
        <v>812152.6</v>
      </c>
      <c r="P214">
        <v>138419.43</v>
      </c>
    </row>
    <row r="215" spans="1:16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f t="shared" si="6"/>
        <v>3.67</v>
      </c>
      <c r="L215">
        <v>0</v>
      </c>
      <c r="M215">
        <v>4.2</v>
      </c>
      <c r="N215">
        <f t="shared" si="7"/>
        <v>4.2</v>
      </c>
      <c r="O215">
        <v>804975.5</v>
      </c>
      <c r="P215">
        <v>140054.5</v>
      </c>
    </row>
    <row r="216" spans="1:16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f t="shared" si="6"/>
        <v>2.81</v>
      </c>
      <c r="L216">
        <v>0</v>
      </c>
      <c r="M216">
        <v>4.7</v>
      </c>
      <c r="N216">
        <f t="shared" si="7"/>
        <v>4.7</v>
      </c>
      <c r="O216">
        <v>752321.72</v>
      </c>
      <c r="P216">
        <v>137788.51</v>
      </c>
    </row>
    <row r="217" spans="1:16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f t="shared" si="6"/>
        <v>2.44</v>
      </c>
      <c r="L217">
        <v>0</v>
      </c>
      <c r="M217">
        <v>4.9000000000000004</v>
      </c>
      <c r="N217">
        <f t="shared" si="7"/>
        <v>4.9000000000000004</v>
      </c>
      <c r="O217">
        <v>836908.24</v>
      </c>
      <c r="P217">
        <v>141090.26</v>
      </c>
    </row>
    <row r="218" spans="1:16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f t="shared" si="6"/>
        <v>3.27</v>
      </c>
      <c r="L218">
        <v>0</v>
      </c>
      <c r="M218">
        <v>3.3</v>
      </c>
      <c r="N218">
        <f t="shared" si="7"/>
        <v>3.3</v>
      </c>
      <c r="O218">
        <v>674289.1</v>
      </c>
      <c r="P218">
        <v>117773.79</v>
      </c>
    </row>
    <row r="219" spans="1:16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f t="shared" si="6"/>
        <v>10.34</v>
      </c>
      <c r="L219">
        <v>0</v>
      </c>
      <c r="M219">
        <v>3.9</v>
      </c>
      <c r="N219">
        <f t="shared" si="7"/>
        <v>3.9</v>
      </c>
      <c r="O219">
        <v>622892.42000000004</v>
      </c>
      <c r="P219">
        <v>101032.52</v>
      </c>
    </row>
    <row r="220" spans="1:16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f t="shared" si="6"/>
        <v>1.92</v>
      </c>
      <c r="L220">
        <v>0</v>
      </c>
      <c r="M220">
        <v>3.7</v>
      </c>
      <c r="N220">
        <f t="shared" si="7"/>
        <v>3.7</v>
      </c>
      <c r="O220">
        <v>673348.56</v>
      </c>
      <c r="P220">
        <v>69464.59</v>
      </c>
    </row>
    <row r="221" spans="1:16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f t="shared" si="6"/>
        <v>3.1</v>
      </c>
      <c r="L221">
        <v>0</v>
      </c>
      <c r="M221">
        <v>3.9</v>
      </c>
      <c r="N221">
        <f t="shared" si="7"/>
        <v>3.9</v>
      </c>
      <c r="O221">
        <v>606278.30000000005</v>
      </c>
      <c r="P221">
        <v>102213.26</v>
      </c>
    </row>
    <row r="222" spans="1:16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f t="shared" si="6"/>
        <v>6.34</v>
      </c>
      <c r="L222">
        <v>1</v>
      </c>
      <c r="M222">
        <v>3.8</v>
      </c>
      <c r="N222">
        <f t="shared" si="7"/>
        <v>3.8</v>
      </c>
      <c r="O222">
        <v>712219.81</v>
      </c>
      <c r="P222">
        <v>85906.54</v>
      </c>
    </row>
    <row r="223" spans="1:16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f t="shared" si="6"/>
        <v>1.2</v>
      </c>
      <c r="L223">
        <v>0</v>
      </c>
      <c r="M223">
        <v>3.4</v>
      </c>
      <c r="N223">
        <f t="shared" si="7"/>
        <v>3.4</v>
      </c>
      <c r="O223">
        <v>672670.54</v>
      </c>
      <c r="P223">
        <v>132684.18</v>
      </c>
    </row>
    <row r="224" spans="1:16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f t="shared" si="6"/>
        <v>4.5</v>
      </c>
      <c r="L224">
        <v>0</v>
      </c>
      <c r="M224">
        <v>3.3</v>
      </c>
      <c r="N224">
        <f t="shared" si="7"/>
        <v>3.3</v>
      </c>
      <c r="O224">
        <v>732667.92</v>
      </c>
      <c r="P224">
        <v>128654.46</v>
      </c>
    </row>
    <row r="225" spans="1:16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f t="shared" si="6"/>
        <v>6.68</v>
      </c>
      <c r="L225">
        <v>0</v>
      </c>
      <c r="M225">
        <v>3.6</v>
      </c>
      <c r="N225">
        <f t="shared" si="7"/>
        <v>3.6</v>
      </c>
      <c r="O225">
        <v>723531.4</v>
      </c>
      <c r="P225">
        <v>108794.85</v>
      </c>
    </row>
    <row r="226" spans="1:16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f t="shared" si="6"/>
        <v>4.07</v>
      </c>
      <c r="L226">
        <v>1</v>
      </c>
      <c r="M226">
        <v>3</v>
      </c>
      <c r="N226">
        <f t="shared" si="7"/>
        <v>3</v>
      </c>
      <c r="O226">
        <v>641564.6</v>
      </c>
      <c r="P226">
        <v>90468.96</v>
      </c>
    </row>
    <row r="227" spans="1:16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f t="shared" si="6"/>
        <v>5.45</v>
      </c>
      <c r="L227">
        <v>0</v>
      </c>
      <c r="M227">
        <v>3.4</v>
      </c>
      <c r="N227">
        <f t="shared" si="7"/>
        <v>3.4</v>
      </c>
      <c r="O227">
        <v>536545.49</v>
      </c>
      <c r="P227">
        <v>97917.45</v>
      </c>
    </row>
    <row r="228" spans="1:16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f t="shared" si="6"/>
        <v>15.58</v>
      </c>
      <c r="L228">
        <v>0</v>
      </c>
      <c r="M228">
        <v>3.3</v>
      </c>
      <c r="N228">
        <f t="shared" si="7"/>
        <v>3.3</v>
      </c>
      <c r="O228">
        <v>527681.56000000006</v>
      </c>
      <c r="P228">
        <v>63153.05</v>
      </c>
    </row>
    <row r="229" spans="1:16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f t="shared" si="6"/>
        <v>5.32</v>
      </c>
      <c r="L229">
        <v>0</v>
      </c>
      <c r="N229" s="4">
        <f t="shared" si="7"/>
        <v>3.8222222222222211</v>
      </c>
      <c r="O229">
        <v>529598.93999999994</v>
      </c>
      <c r="P229">
        <v>84334.33</v>
      </c>
    </row>
    <row r="230" spans="1:16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f t="shared" si="6"/>
        <v>0.37</v>
      </c>
      <c r="L230">
        <v>0</v>
      </c>
      <c r="M230">
        <v>3.8</v>
      </c>
      <c r="N230">
        <f t="shared" si="7"/>
        <v>3.8</v>
      </c>
      <c r="O230">
        <v>570963.31000000006</v>
      </c>
      <c r="P230">
        <v>87342.25</v>
      </c>
    </row>
    <row r="231" spans="1:16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f t="shared" si="6"/>
        <v>21.63</v>
      </c>
      <c r="L231">
        <v>0</v>
      </c>
      <c r="M231">
        <v>4</v>
      </c>
      <c r="N231">
        <f t="shared" si="7"/>
        <v>4</v>
      </c>
      <c r="O231">
        <v>870937.4</v>
      </c>
      <c r="P231">
        <v>175282.74</v>
      </c>
    </row>
    <row r="232" spans="1:16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f t="shared" si="6"/>
        <v>2.48</v>
      </c>
      <c r="L232">
        <v>0</v>
      </c>
      <c r="M232">
        <v>3.9</v>
      </c>
      <c r="N232">
        <f t="shared" si="7"/>
        <v>3.9</v>
      </c>
      <c r="O232">
        <v>596969.27</v>
      </c>
      <c r="P232">
        <v>105669.51</v>
      </c>
    </row>
    <row r="233" spans="1:16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 s="3">
        <f t="shared" si="6"/>
        <v>3.8262790697674411</v>
      </c>
      <c r="L233">
        <v>0</v>
      </c>
      <c r="M233">
        <v>3.7</v>
      </c>
      <c r="N233">
        <f t="shared" si="7"/>
        <v>3.7</v>
      </c>
      <c r="O233">
        <v>647512.85</v>
      </c>
      <c r="P233">
        <v>153835.57</v>
      </c>
    </row>
    <row r="234" spans="1:16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f t="shared" si="6"/>
        <v>0.85</v>
      </c>
      <c r="L234">
        <v>0</v>
      </c>
      <c r="M234">
        <v>4.3</v>
      </c>
      <c r="N234">
        <f t="shared" si="7"/>
        <v>4.3</v>
      </c>
      <c r="O234">
        <v>658072.14</v>
      </c>
      <c r="P234">
        <v>110595.89</v>
      </c>
    </row>
    <row r="235" spans="1:16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f t="shared" si="6"/>
        <v>2.13</v>
      </c>
      <c r="L235">
        <v>0</v>
      </c>
      <c r="M235">
        <v>4</v>
      </c>
      <c r="N235">
        <f t="shared" si="7"/>
        <v>4</v>
      </c>
      <c r="O235">
        <v>723305.11</v>
      </c>
      <c r="P235">
        <v>128468.7</v>
      </c>
    </row>
    <row r="236" spans="1:16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f t="shared" si="6"/>
        <v>1.46</v>
      </c>
      <c r="L236">
        <v>0</v>
      </c>
      <c r="M236">
        <v>4.5</v>
      </c>
      <c r="N236">
        <f t="shared" si="7"/>
        <v>4.5</v>
      </c>
      <c r="O236">
        <v>640666.53</v>
      </c>
      <c r="P236">
        <v>134919.16</v>
      </c>
    </row>
    <row r="237" spans="1:16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f t="shared" si="6"/>
        <v>3.02</v>
      </c>
      <c r="L237">
        <v>0</v>
      </c>
      <c r="M237">
        <v>4.0999999999999996</v>
      </c>
      <c r="N237">
        <f t="shared" si="7"/>
        <v>4.0999999999999996</v>
      </c>
      <c r="O237">
        <v>670629.48</v>
      </c>
      <c r="P237">
        <v>100140.8</v>
      </c>
    </row>
    <row r="238" spans="1:16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f t="shared" si="6"/>
        <v>3.22</v>
      </c>
      <c r="L238">
        <v>0</v>
      </c>
      <c r="M238">
        <v>3.7</v>
      </c>
      <c r="N238">
        <f t="shared" si="7"/>
        <v>3.7</v>
      </c>
      <c r="O238">
        <v>721079.35</v>
      </c>
      <c r="P238">
        <v>115295.05</v>
      </c>
    </row>
    <row r="239" spans="1:16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f t="shared" si="6"/>
        <v>15.66</v>
      </c>
      <c r="L239">
        <v>0</v>
      </c>
      <c r="M239">
        <v>3.4</v>
      </c>
      <c r="N239">
        <f t="shared" si="7"/>
        <v>3.4</v>
      </c>
      <c r="O239">
        <v>810355.02</v>
      </c>
      <c r="P239">
        <v>131510</v>
      </c>
    </row>
    <row r="240" spans="1:16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f t="shared" si="6"/>
        <v>6.96</v>
      </c>
      <c r="L240">
        <v>0</v>
      </c>
      <c r="M240">
        <v>3.2</v>
      </c>
      <c r="N240">
        <f t="shared" si="7"/>
        <v>3.2</v>
      </c>
      <c r="O240">
        <v>761919.25</v>
      </c>
      <c r="P240">
        <v>111893.06</v>
      </c>
    </row>
    <row r="241" spans="1:16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f t="shared" si="6"/>
        <v>4.62</v>
      </c>
      <c r="L241">
        <v>0</v>
      </c>
      <c r="M241">
        <v>3.3</v>
      </c>
      <c r="N241">
        <f t="shared" si="7"/>
        <v>3.3</v>
      </c>
      <c r="O241">
        <v>737070.18</v>
      </c>
      <c r="P241">
        <v>117593.97</v>
      </c>
    </row>
    <row r="242" spans="1:16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f t="shared" si="6"/>
        <v>10.68</v>
      </c>
      <c r="L242">
        <v>1</v>
      </c>
      <c r="M242">
        <v>2.9</v>
      </c>
      <c r="N242">
        <f t="shared" si="7"/>
        <v>2.9</v>
      </c>
      <c r="O242">
        <v>776992.93</v>
      </c>
      <c r="P242">
        <v>101598.32</v>
      </c>
    </row>
    <row r="243" spans="1:16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f t="shared" si="6"/>
        <v>4.04</v>
      </c>
      <c r="L243">
        <v>0</v>
      </c>
      <c r="M243">
        <v>3.7</v>
      </c>
      <c r="N243">
        <f t="shared" si="7"/>
        <v>3.7</v>
      </c>
      <c r="O243">
        <v>676337.41</v>
      </c>
      <c r="P243">
        <v>104355.77</v>
      </c>
    </row>
    <row r="244" spans="1:16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f t="shared" si="6"/>
        <v>1.87</v>
      </c>
      <c r="L244">
        <v>0</v>
      </c>
      <c r="M244">
        <v>3.5</v>
      </c>
      <c r="N244">
        <f t="shared" si="7"/>
        <v>3.5</v>
      </c>
      <c r="O244">
        <v>828219.67</v>
      </c>
      <c r="P244">
        <v>179806.87</v>
      </c>
    </row>
    <row r="245" spans="1:16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f t="shared" si="6"/>
        <v>2.83</v>
      </c>
      <c r="L245">
        <v>0</v>
      </c>
      <c r="M245">
        <v>3</v>
      </c>
      <c r="N245">
        <f t="shared" si="7"/>
        <v>3</v>
      </c>
      <c r="O245">
        <v>763159.92</v>
      </c>
      <c r="P245">
        <v>177104.87</v>
      </c>
    </row>
    <row r="246" spans="1:16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f t="shared" si="6"/>
        <v>0.95</v>
      </c>
      <c r="L246">
        <v>0</v>
      </c>
      <c r="M246">
        <v>3.2</v>
      </c>
      <c r="N246">
        <f t="shared" si="7"/>
        <v>3.2</v>
      </c>
      <c r="O246">
        <v>802001.68</v>
      </c>
      <c r="P246">
        <v>159715.82</v>
      </c>
    </row>
    <row r="247" spans="1:16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f t="shared" si="6"/>
        <v>0.8</v>
      </c>
      <c r="L247">
        <v>0</v>
      </c>
      <c r="M247">
        <v>3.4</v>
      </c>
      <c r="N247">
        <f t="shared" si="7"/>
        <v>3.4</v>
      </c>
      <c r="O247">
        <v>750471.34</v>
      </c>
      <c r="P247">
        <v>133788.04</v>
      </c>
    </row>
    <row r="248" spans="1:16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f t="shared" si="6"/>
        <v>0.2</v>
      </c>
      <c r="L248">
        <v>0</v>
      </c>
      <c r="M248">
        <v>3.1</v>
      </c>
      <c r="N248">
        <f t="shared" si="7"/>
        <v>3.1</v>
      </c>
      <c r="O248">
        <v>679230.86</v>
      </c>
      <c r="P248">
        <v>106927.58</v>
      </c>
    </row>
    <row r="249" spans="1:16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f t="shared" si="6"/>
        <v>1.7</v>
      </c>
      <c r="L249">
        <v>0</v>
      </c>
      <c r="M249">
        <v>3.3</v>
      </c>
      <c r="N249">
        <f t="shared" si="7"/>
        <v>3.3</v>
      </c>
      <c r="O249">
        <v>679888.74</v>
      </c>
      <c r="P249">
        <v>83406.89</v>
      </c>
    </row>
    <row r="250" spans="1:16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 s="3">
        <f t="shared" si="6"/>
        <v>3.8295714285714277</v>
      </c>
      <c r="L250">
        <v>0</v>
      </c>
      <c r="M250">
        <v>3.8</v>
      </c>
      <c r="N250">
        <f t="shared" si="7"/>
        <v>3.8</v>
      </c>
      <c r="O250">
        <v>606783.67000000004</v>
      </c>
      <c r="P250">
        <v>74515.87</v>
      </c>
    </row>
    <row r="251" spans="1:16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f t="shared" si="6"/>
        <v>5.0999999999999996</v>
      </c>
      <c r="L251">
        <v>0</v>
      </c>
      <c r="M251">
        <v>3.6</v>
      </c>
      <c r="N251">
        <f t="shared" si="7"/>
        <v>3.6</v>
      </c>
      <c r="O251">
        <v>642751.42000000004</v>
      </c>
      <c r="P251">
        <v>131942.15</v>
      </c>
    </row>
    <row r="252" spans="1:16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f t="shared" si="6"/>
        <v>0.83</v>
      </c>
      <c r="L252">
        <v>0</v>
      </c>
      <c r="M252">
        <v>4</v>
      </c>
      <c r="N252">
        <f t="shared" si="7"/>
        <v>4</v>
      </c>
      <c r="O252">
        <v>647953.78</v>
      </c>
      <c r="P252">
        <v>118497.43</v>
      </c>
    </row>
    <row r="253" spans="1:16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f t="shared" si="6"/>
        <v>1.1399999999999999</v>
      </c>
      <c r="L253">
        <v>0</v>
      </c>
      <c r="M253">
        <v>4</v>
      </c>
      <c r="N253">
        <f t="shared" si="7"/>
        <v>4</v>
      </c>
      <c r="O253">
        <v>729440.45</v>
      </c>
      <c r="P253">
        <v>87614.29</v>
      </c>
    </row>
    <row r="254" spans="1:16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f t="shared" si="6"/>
        <v>9.5399999999999991</v>
      </c>
      <c r="L254">
        <v>0</v>
      </c>
      <c r="M254">
        <v>3.7</v>
      </c>
      <c r="N254">
        <f t="shared" si="7"/>
        <v>3.7</v>
      </c>
      <c r="O254">
        <v>764949</v>
      </c>
      <c r="P254">
        <v>148322.43</v>
      </c>
    </row>
    <row r="255" spans="1:16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f t="shared" si="6"/>
        <v>5.48</v>
      </c>
      <c r="L255">
        <v>0</v>
      </c>
      <c r="M255">
        <v>3.2</v>
      </c>
      <c r="N255">
        <f t="shared" si="7"/>
        <v>3.2</v>
      </c>
      <c r="O255">
        <v>799046.94</v>
      </c>
      <c r="P255">
        <v>144553.64000000001</v>
      </c>
    </row>
    <row r="256" spans="1:16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f t="shared" si="6"/>
        <v>0.84</v>
      </c>
      <c r="L256">
        <v>0</v>
      </c>
      <c r="M256">
        <v>3.6</v>
      </c>
      <c r="N256">
        <f t="shared" si="7"/>
        <v>3.6</v>
      </c>
      <c r="O256">
        <v>720079.54</v>
      </c>
      <c r="P256">
        <v>119499.47</v>
      </c>
    </row>
    <row r="257" spans="1:16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f t="shared" si="6"/>
        <v>4.1900000000000004</v>
      </c>
      <c r="L257">
        <v>0</v>
      </c>
      <c r="M257">
        <v>4.0999999999999996</v>
      </c>
      <c r="N257">
        <f t="shared" si="7"/>
        <v>4.0999999999999996</v>
      </c>
      <c r="O257">
        <v>612390.14</v>
      </c>
      <c r="P257">
        <v>108985.74</v>
      </c>
    </row>
    <row r="258" spans="1:16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f t="shared" si="6"/>
        <v>1.26</v>
      </c>
      <c r="L258">
        <v>1</v>
      </c>
      <c r="M258">
        <v>4.3</v>
      </c>
      <c r="N258">
        <f t="shared" si="7"/>
        <v>4.3</v>
      </c>
      <c r="O258">
        <v>840108.12</v>
      </c>
      <c r="P258">
        <v>126587.01</v>
      </c>
    </row>
    <row r="259" spans="1:16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f t="shared" ref="K259:K321" si="8">IF(J259="",AVERAGE(J259:J578),J259)</f>
        <v>2.74</v>
      </c>
      <c r="L259">
        <v>0</v>
      </c>
      <c r="M259">
        <v>4.5999999999999996</v>
      </c>
      <c r="N259">
        <f t="shared" ref="N259:N321" si="9">IF(M259="",AVERAGE(M259:M578),M259)</f>
        <v>4.5999999999999996</v>
      </c>
      <c r="O259">
        <v>697888.09</v>
      </c>
      <c r="P259">
        <v>116249.87</v>
      </c>
    </row>
    <row r="260" spans="1:16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f t="shared" si="8"/>
        <v>3.69</v>
      </c>
      <c r="L260">
        <v>0</v>
      </c>
      <c r="M260">
        <v>4.4000000000000004</v>
      </c>
      <c r="N260">
        <f t="shared" si="9"/>
        <v>4.4000000000000004</v>
      </c>
      <c r="O260">
        <v>746115.59</v>
      </c>
      <c r="P260">
        <v>94662.96</v>
      </c>
    </row>
    <row r="261" spans="1:16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f t="shared" si="8"/>
        <v>1.82</v>
      </c>
      <c r="L261">
        <v>0</v>
      </c>
      <c r="M261">
        <v>3.6</v>
      </c>
      <c r="N261">
        <f t="shared" si="9"/>
        <v>3.6</v>
      </c>
      <c r="O261">
        <v>776110.32</v>
      </c>
      <c r="P261">
        <v>139676.21</v>
      </c>
    </row>
    <row r="262" spans="1:16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f t="shared" si="8"/>
        <v>6.62</v>
      </c>
      <c r="L262">
        <v>0</v>
      </c>
      <c r="M262">
        <v>4.2</v>
      </c>
      <c r="N262">
        <f t="shared" si="9"/>
        <v>4.2</v>
      </c>
      <c r="O262">
        <v>528852.62</v>
      </c>
      <c r="P262">
        <v>68426.210000000006</v>
      </c>
    </row>
    <row r="263" spans="1:16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 s="3">
        <f t="shared" si="8"/>
        <v>3.8762068965517216</v>
      </c>
      <c r="L263">
        <v>0</v>
      </c>
      <c r="M263">
        <v>4.2</v>
      </c>
      <c r="N263">
        <f t="shared" si="9"/>
        <v>4.2</v>
      </c>
      <c r="O263">
        <v>605751.32999999996</v>
      </c>
      <c r="P263">
        <v>60685.53</v>
      </c>
    </row>
    <row r="264" spans="1:16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f t="shared" si="8"/>
        <v>6.92</v>
      </c>
      <c r="L264">
        <v>1</v>
      </c>
      <c r="M264">
        <v>4.2</v>
      </c>
      <c r="N264">
        <f t="shared" si="9"/>
        <v>4.2</v>
      </c>
      <c r="O264">
        <v>677640.65</v>
      </c>
      <c r="P264">
        <v>111610.89</v>
      </c>
    </row>
    <row r="265" spans="1:16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f t="shared" si="8"/>
        <v>11.78</v>
      </c>
      <c r="L265">
        <v>0</v>
      </c>
      <c r="M265">
        <v>3.7</v>
      </c>
      <c r="N265">
        <f t="shared" si="9"/>
        <v>3.7</v>
      </c>
      <c r="O265">
        <v>636613.23</v>
      </c>
      <c r="P265">
        <v>78908.350000000006</v>
      </c>
    </row>
    <row r="266" spans="1:16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f t="shared" si="8"/>
        <v>0.5</v>
      </c>
      <c r="L266">
        <v>0</v>
      </c>
      <c r="M266">
        <v>3.5</v>
      </c>
      <c r="N266">
        <f t="shared" si="9"/>
        <v>3.5</v>
      </c>
      <c r="O266">
        <v>708985.19</v>
      </c>
      <c r="P266">
        <v>125368.16</v>
      </c>
    </row>
    <row r="267" spans="1:16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f t="shared" si="8"/>
        <v>0.88</v>
      </c>
      <c r="L267">
        <v>0</v>
      </c>
      <c r="M267">
        <v>3.7</v>
      </c>
      <c r="N267">
        <f t="shared" si="9"/>
        <v>3.7</v>
      </c>
      <c r="O267">
        <v>767792.94</v>
      </c>
      <c r="P267">
        <v>96235.77</v>
      </c>
    </row>
    <row r="268" spans="1:16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f t="shared" si="8"/>
        <v>2.25</v>
      </c>
      <c r="L268">
        <v>0</v>
      </c>
      <c r="M268">
        <v>3.7</v>
      </c>
      <c r="N268">
        <f t="shared" si="9"/>
        <v>3.7</v>
      </c>
      <c r="O268">
        <v>745580.51</v>
      </c>
      <c r="P268">
        <v>116273.68</v>
      </c>
    </row>
    <row r="269" spans="1:16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f t="shared" si="8"/>
        <v>0.28999999999999998</v>
      </c>
      <c r="L269">
        <v>0</v>
      </c>
      <c r="M269">
        <v>3.5</v>
      </c>
      <c r="N269">
        <f t="shared" si="9"/>
        <v>3.5</v>
      </c>
      <c r="O269">
        <v>762328.31</v>
      </c>
      <c r="P269">
        <v>159158.19</v>
      </c>
    </row>
    <row r="270" spans="1:16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f t="shared" si="8"/>
        <v>0.65</v>
      </c>
      <c r="L270">
        <v>0</v>
      </c>
      <c r="M270">
        <v>3.6</v>
      </c>
      <c r="N270">
        <f t="shared" si="9"/>
        <v>3.6</v>
      </c>
      <c r="O270">
        <v>660633.99</v>
      </c>
      <c r="P270">
        <v>118768.66</v>
      </c>
    </row>
    <row r="271" spans="1:16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f t="shared" si="8"/>
        <v>0.2</v>
      </c>
      <c r="L271">
        <v>0</v>
      </c>
      <c r="M271">
        <v>3.5</v>
      </c>
      <c r="N271">
        <f t="shared" si="9"/>
        <v>3.5</v>
      </c>
      <c r="O271">
        <v>739374.56</v>
      </c>
      <c r="P271">
        <v>121032.29</v>
      </c>
    </row>
    <row r="272" spans="1:16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f t="shared" si="8"/>
        <v>3.63</v>
      </c>
      <c r="L272">
        <v>1</v>
      </c>
      <c r="M272">
        <v>3.8</v>
      </c>
      <c r="N272">
        <f t="shared" si="9"/>
        <v>3.8</v>
      </c>
      <c r="O272">
        <v>799756.46</v>
      </c>
      <c r="P272">
        <v>105052.93</v>
      </c>
    </row>
    <row r="273" spans="1:16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f t="shared" si="8"/>
        <v>0.2</v>
      </c>
      <c r="L273">
        <v>0</v>
      </c>
      <c r="M273">
        <v>3.2</v>
      </c>
      <c r="N273">
        <f t="shared" si="9"/>
        <v>3.2</v>
      </c>
      <c r="O273">
        <v>593343</v>
      </c>
      <c r="P273">
        <v>82832.240000000005</v>
      </c>
    </row>
    <row r="274" spans="1:16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f t="shared" si="8"/>
        <v>6.23</v>
      </c>
      <c r="L274">
        <v>0</v>
      </c>
      <c r="M274">
        <v>3.3</v>
      </c>
      <c r="N274">
        <f t="shared" si="9"/>
        <v>3.3</v>
      </c>
      <c r="O274">
        <v>645039.97</v>
      </c>
      <c r="P274">
        <v>83093.33</v>
      </c>
    </row>
    <row r="275" spans="1:16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f t="shared" si="8"/>
        <v>1.04</v>
      </c>
      <c r="L275">
        <v>0</v>
      </c>
      <c r="M275">
        <v>3.1</v>
      </c>
      <c r="N275">
        <f t="shared" si="9"/>
        <v>3.1</v>
      </c>
      <c r="O275">
        <v>561597.32999999996</v>
      </c>
      <c r="P275">
        <v>75072.75</v>
      </c>
    </row>
    <row r="276" spans="1:16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f t="shared" si="8"/>
        <v>1.76</v>
      </c>
      <c r="L276">
        <v>0</v>
      </c>
      <c r="M276">
        <v>3.1</v>
      </c>
      <c r="N276">
        <f t="shared" si="9"/>
        <v>3.1</v>
      </c>
      <c r="O276">
        <v>635837.74</v>
      </c>
      <c r="P276">
        <v>114740.64</v>
      </c>
    </row>
    <row r="277" spans="1:16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f t="shared" si="8"/>
        <v>2.86</v>
      </c>
      <c r="L277">
        <v>0</v>
      </c>
      <c r="M277">
        <v>3</v>
      </c>
      <c r="N277">
        <f t="shared" si="9"/>
        <v>3</v>
      </c>
      <c r="O277">
        <v>686737.87</v>
      </c>
      <c r="P277">
        <v>83839.67</v>
      </c>
    </row>
    <row r="278" spans="1:16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f t="shared" si="8"/>
        <v>18.14</v>
      </c>
      <c r="L278">
        <v>1</v>
      </c>
      <c r="M278">
        <v>3.4</v>
      </c>
      <c r="N278">
        <f t="shared" si="9"/>
        <v>3.4</v>
      </c>
      <c r="O278">
        <v>673076.34</v>
      </c>
      <c r="P278">
        <v>93899.76</v>
      </c>
    </row>
    <row r="279" spans="1:16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f t="shared" si="8"/>
        <v>3.39</v>
      </c>
      <c r="L279">
        <v>0</v>
      </c>
      <c r="M279">
        <v>4</v>
      </c>
      <c r="N279">
        <f t="shared" si="9"/>
        <v>4</v>
      </c>
      <c r="O279">
        <v>738548.42</v>
      </c>
      <c r="P279">
        <v>134282.76999999999</v>
      </c>
    </row>
    <row r="280" spans="1:16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f t="shared" si="8"/>
        <v>1.44</v>
      </c>
      <c r="L280">
        <v>0</v>
      </c>
      <c r="M280">
        <v>3.9</v>
      </c>
      <c r="N280">
        <f t="shared" si="9"/>
        <v>3.9</v>
      </c>
      <c r="O280">
        <v>756619.77</v>
      </c>
      <c r="P280">
        <v>112057.69</v>
      </c>
    </row>
    <row r="281" spans="1:16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f t="shared" si="8"/>
        <v>3.65</v>
      </c>
      <c r="L281">
        <v>0</v>
      </c>
      <c r="M281">
        <v>3.7</v>
      </c>
      <c r="N281">
        <f t="shared" si="9"/>
        <v>3.7</v>
      </c>
      <c r="O281">
        <v>761122.42</v>
      </c>
      <c r="P281">
        <v>149802.04</v>
      </c>
    </row>
    <row r="282" spans="1:16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f t="shared" si="8"/>
        <v>1.23</v>
      </c>
      <c r="L282">
        <v>1</v>
      </c>
      <c r="M282">
        <v>3.8</v>
      </c>
      <c r="N282">
        <f t="shared" si="9"/>
        <v>3.8</v>
      </c>
      <c r="O282">
        <v>524899.56999999995</v>
      </c>
      <c r="P282">
        <v>63619.98</v>
      </c>
    </row>
    <row r="283" spans="1:16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f t="shared" si="8"/>
        <v>3.09</v>
      </c>
      <c r="L283">
        <v>0</v>
      </c>
      <c r="M283">
        <v>4</v>
      </c>
      <c r="N283">
        <f t="shared" si="9"/>
        <v>4</v>
      </c>
      <c r="O283">
        <v>555557.77</v>
      </c>
      <c r="P283">
        <v>86475.51</v>
      </c>
    </row>
    <row r="284" spans="1:16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f t="shared" si="8"/>
        <v>3.15</v>
      </c>
      <c r="L284">
        <v>0</v>
      </c>
      <c r="M284">
        <v>4</v>
      </c>
      <c r="N284">
        <f t="shared" si="9"/>
        <v>4</v>
      </c>
      <c r="O284">
        <v>714083.68</v>
      </c>
      <c r="P284">
        <v>127231.74</v>
      </c>
    </row>
    <row r="285" spans="1:16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f t="shared" si="8"/>
        <v>6.44</v>
      </c>
      <c r="L285">
        <v>0</v>
      </c>
      <c r="M285">
        <v>4.2</v>
      </c>
      <c r="N285">
        <f t="shared" si="9"/>
        <v>4.2</v>
      </c>
      <c r="O285">
        <v>497439.82</v>
      </c>
      <c r="P285">
        <v>93372.75</v>
      </c>
    </row>
    <row r="286" spans="1:16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f t="shared" si="8"/>
        <v>0.2</v>
      </c>
      <c r="L286">
        <v>1</v>
      </c>
      <c r="M286">
        <v>4.5</v>
      </c>
      <c r="N286">
        <f t="shared" si="9"/>
        <v>4.5</v>
      </c>
      <c r="O286">
        <v>636775.66</v>
      </c>
      <c r="P286">
        <v>122636.86</v>
      </c>
    </row>
    <row r="287" spans="1:16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f t="shared" si="8"/>
        <v>0.59</v>
      </c>
      <c r="L287">
        <v>0</v>
      </c>
      <c r="M287">
        <v>4.5</v>
      </c>
      <c r="N287">
        <f t="shared" si="9"/>
        <v>4.5</v>
      </c>
      <c r="O287">
        <v>633009.53</v>
      </c>
      <c r="P287">
        <v>123782.67</v>
      </c>
    </row>
    <row r="288" spans="1:16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f t="shared" si="8"/>
        <v>0.2</v>
      </c>
      <c r="L288">
        <v>1</v>
      </c>
      <c r="M288">
        <v>4.2</v>
      </c>
      <c r="N288">
        <f t="shared" si="9"/>
        <v>4.2</v>
      </c>
      <c r="O288">
        <v>609949</v>
      </c>
      <c r="P288">
        <v>126789.25</v>
      </c>
    </row>
    <row r="289" spans="1:16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f t="shared" si="8"/>
        <v>1.36</v>
      </c>
      <c r="L289">
        <v>0</v>
      </c>
      <c r="M289">
        <v>4.8</v>
      </c>
      <c r="N289">
        <f t="shared" si="9"/>
        <v>4.8</v>
      </c>
      <c r="O289">
        <v>548103.69999999995</v>
      </c>
      <c r="P289">
        <v>99905.52</v>
      </c>
    </row>
    <row r="290" spans="1:16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f t="shared" si="8"/>
        <v>3.34</v>
      </c>
      <c r="L290">
        <v>0</v>
      </c>
      <c r="M290">
        <v>3.7</v>
      </c>
      <c r="N290">
        <f t="shared" si="9"/>
        <v>3.7</v>
      </c>
      <c r="O290">
        <v>729424.42</v>
      </c>
      <c r="P290">
        <v>75592.28</v>
      </c>
    </row>
    <row r="291" spans="1:16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f t="shared" si="8"/>
        <v>0.33</v>
      </c>
      <c r="L291">
        <v>0</v>
      </c>
      <c r="M291">
        <v>4</v>
      </c>
      <c r="N291">
        <f t="shared" si="9"/>
        <v>4</v>
      </c>
      <c r="O291">
        <v>696261.49</v>
      </c>
      <c r="P291">
        <v>72455.350000000006</v>
      </c>
    </row>
    <row r="292" spans="1:16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f t="shared" si="8"/>
        <v>3.44</v>
      </c>
      <c r="L292">
        <v>1</v>
      </c>
      <c r="M292">
        <v>4.3</v>
      </c>
      <c r="N292">
        <f t="shared" si="9"/>
        <v>4.3</v>
      </c>
      <c r="O292">
        <v>813316.71</v>
      </c>
      <c r="P292">
        <v>110077.42</v>
      </c>
    </row>
    <row r="293" spans="1:16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f t="shared" si="8"/>
        <v>5.33</v>
      </c>
      <c r="L293">
        <v>0</v>
      </c>
      <c r="M293">
        <v>4.0999999999999996</v>
      </c>
      <c r="N293">
        <f t="shared" si="9"/>
        <v>4.0999999999999996</v>
      </c>
      <c r="O293">
        <v>702068.92</v>
      </c>
      <c r="P293">
        <v>111266.63</v>
      </c>
    </row>
    <row r="294" spans="1:16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f t="shared" si="8"/>
        <v>6.04</v>
      </c>
      <c r="L294">
        <v>0</v>
      </c>
      <c r="M294">
        <v>4.5</v>
      </c>
      <c r="N294">
        <f t="shared" si="9"/>
        <v>4.5</v>
      </c>
      <c r="O294">
        <v>546223.69999999995</v>
      </c>
      <c r="P294">
        <v>100769.17</v>
      </c>
    </row>
    <row r="295" spans="1:16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f t="shared" si="8"/>
        <v>1.6</v>
      </c>
      <c r="L295">
        <v>0</v>
      </c>
      <c r="M295">
        <v>4.2</v>
      </c>
      <c r="N295">
        <f t="shared" si="9"/>
        <v>4.2</v>
      </c>
      <c r="O295">
        <v>533121.26</v>
      </c>
      <c r="P295">
        <v>55063.39</v>
      </c>
    </row>
    <row r="296" spans="1:16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f t="shared" si="8"/>
        <v>8.9600000000000009</v>
      </c>
      <c r="L296">
        <v>0</v>
      </c>
      <c r="M296">
        <v>4.7</v>
      </c>
      <c r="N296">
        <f t="shared" si="9"/>
        <v>4.7</v>
      </c>
      <c r="O296">
        <v>498970.32</v>
      </c>
      <c r="P296">
        <v>69656.7</v>
      </c>
    </row>
    <row r="297" spans="1:16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f t="shared" si="8"/>
        <v>0.74</v>
      </c>
      <c r="L297">
        <v>0</v>
      </c>
      <c r="M297">
        <v>4.5999999999999996</v>
      </c>
      <c r="N297">
        <f t="shared" si="9"/>
        <v>4.5999999999999996</v>
      </c>
      <c r="O297">
        <v>487738.26</v>
      </c>
      <c r="P297">
        <v>96435.6</v>
      </c>
    </row>
    <row r="298" spans="1:16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f t="shared" si="8"/>
        <v>6.13</v>
      </c>
      <c r="L298">
        <v>0</v>
      </c>
      <c r="M298">
        <v>3.3</v>
      </c>
      <c r="N298">
        <f t="shared" si="9"/>
        <v>3.3</v>
      </c>
      <c r="O298">
        <v>668459.37</v>
      </c>
      <c r="P298">
        <v>126435.42</v>
      </c>
    </row>
    <row r="299" spans="1:16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f t="shared" si="8"/>
        <v>1.41</v>
      </c>
      <c r="L299">
        <v>0</v>
      </c>
      <c r="M299">
        <v>3.3</v>
      </c>
      <c r="N299">
        <f t="shared" si="9"/>
        <v>3.3</v>
      </c>
      <c r="O299">
        <v>763162.45</v>
      </c>
      <c r="P299">
        <v>162524.04999999999</v>
      </c>
    </row>
    <row r="300" spans="1:16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f t="shared" si="8"/>
        <v>3.75</v>
      </c>
      <c r="L300">
        <v>0</v>
      </c>
      <c r="M300">
        <v>3.1</v>
      </c>
      <c r="N300">
        <f t="shared" si="9"/>
        <v>3.1</v>
      </c>
      <c r="O300">
        <v>599017.32999999996</v>
      </c>
      <c r="P300">
        <v>134009.92000000001</v>
      </c>
    </row>
    <row r="301" spans="1:16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f t="shared" si="8"/>
        <v>15.06</v>
      </c>
      <c r="L301">
        <v>0</v>
      </c>
      <c r="M301">
        <v>3.2</v>
      </c>
      <c r="N301">
        <f t="shared" si="9"/>
        <v>3.2</v>
      </c>
      <c r="O301">
        <v>401582.58</v>
      </c>
      <c r="P301">
        <v>68454.929999999993</v>
      </c>
    </row>
    <row r="302" spans="1:16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f t="shared" si="8"/>
        <v>5.07</v>
      </c>
      <c r="L302">
        <v>1</v>
      </c>
      <c r="M302">
        <v>4.0999999999999996</v>
      </c>
      <c r="N302">
        <f t="shared" si="9"/>
        <v>4.0999999999999996</v>
      </c>
      <c r="O302">
        <v>703812.99</v>
      </c>
      <c r="P302">
        <v>133577.98000000001</v>
      </c>
    </row>
    <row r="303" spans="1:16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f t="shared" si="8"/>
        <v>3.6</v>
      </c>
      <c r="L303">
        <v>0</v>
      </c>
      <c r="M303">
        <v>3.7</v>
      </c>
      <c r="N303">
        <f t="shared" si="9"/>
        <v>3.7</v>
      </c>
      <c r="O303">
        <v>724346.73</v>
      </c>
      <c r="P303">
        <v>155013.91</v>
      </c>
    </row>
    <row r="304" spans="1:16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f t="shared" si="8"/>
        <v>4.3899999999999997</v>
      </c>
      <c r="L304">
        <v>1</v>
      </c>
      <c r="M304">
        <v>4.7</v>
      </c>
      <c r="N304">
        <f t="shared" si="9"/>
        <v>4.7</v>
      </c>
      <c r="O304">
        <v>730890.01</v>
      </c>
      <c r="P304">
        <v>105502.56</v>
      </c>
    </row>
    <row r="305" spans="1:16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f t="shared" si="8"/>
        <v>2.79</v>
      </c>
      <c r="L305">
        <v>0</v>
      </c>
      <c r="M305">
        <v>4.2</v>
      </c>
      <c r="N305">
        <f t="shared" si="9"/>
        <v>4.2</v>
      </c>
      <c r="O305">
        <v>780580.95</v>
      </c>
      <c r="P305">
        <v>138144.46</v>
      </c>
    </row>
    <row r="306" spans="1:16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f t="shared" si="8"/>
        <v>1.56</v>
      </c>
      <c r="L306">
        <v>0</v>
      </c>
      <c r="M306">
        <v>4</v>
      </c>
      <c r="N306">
        <f t="shared" si="9"/>
        <v>4</v>
      </c>
      <c r="O306">
        <v>727957.48</v>
      </c>
      <c r="P306">
        <v>74805.23</v>
      </c>
    </row>
    <row r="307" spans="1:16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f t="shared" si="8"/>
        <v>15.82</v>
      </c>
      <c r="L307">
        <v>0</v>
      </c>
      <c r="M307">
        <v>3.8</v>
      </c>
      <c r="N307">
        <f t="shared" si="9"/>
        <v>3.8</v>
      </c>
      <c r="O307">
        <v>538376</v>
      </c>
      <c r="P307">
        <v>87605.62</v>
      </c>
    </row>
    <row r="308" spans="1:16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f t="shared" si="8"/>
        <v>1.17</v>
      </c>
      <c r="L308">
        <v>1</v>
      </c>
      <c r="M308">
        <v>3.7</v>
      </c>
      <c r="N308">
        <f t="shared" si="9"/>
        <v>3.7</v>
      </c>
      <c r="O308">
        <v>665342.49</v>
      </c>
      <c r="P308">
        <v>93441.81</v>
      </c>
    </row>
    <row r="309" spans="1:16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f t="shared" si="8"/>
        <v>3.82</v>
      </c>
      <c r="L309">
        <v>0</v>
      </c>
      <c r="M309">
        <v>3.5</v>
      </c>
      <c r="N309">
        <f t="shared" si="9"/>
        <v>3.5</v>
      </c>
      <c r="O309">
        <v>651164.18000000005</v>
      </c>
      <c r="P309">
        <v>109466.5</v>
      </c>
    </row>
    <row r="310" spans="1:16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f t="shared" si="8"/>
        <v>4.1399999999999997</v>
      </c>
      <c r="L310">
        <v>0</v>
      </c>
      <c r="M310">
        <v>4</v>
      </c>
      <c r="N310">
        <f t="shared" si="9"/>
        <v>4</v>
      </c>
      <c r="O310">
        <v>628538.30000000005</v>
      </c>
      <c r="P310">
        <v>112509.15</v>
      </c>
    </row>
    <row r="311" spans="1:16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f t="shared" si="8"/>
        <v>1.1000000000000001</v>
      </c>
      <c r="L311">
        <v>0</v>
      </c>
      <c r="M311">
        <v>4.3</v>
      </c>
      <c r="N311">
        <f t="shared" si="9"/>
        <v>4.3</v>
      </c>
      <c r="O311">
        <v>536524.84</v>
      </c>
      <c r="P311">
        <v>92752.94</v>
      </c>
    </row>
    <row r="312" spans="1:16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f t="shared" si="8"/>
        <v>10.6</v>
      </c>
      <c r="L312">
        <v>0</v>
      </c>
      <c r="M312">
        <v>4.2</v>
      </c>
      <c r="N312">
        <f t="shared" si="9"/>
        <v>4.2</v>
      </c>
      <c r="O312">
        <v>621677.30000000005</v>
      </c>
      <c r="P312">
        <v>105192.52</v>
      </c>
    </row>
    <row r="313" spans="1:16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f t="shared" si="8"/>
        <v>0.9</v>
      </c>
      <c r="L313">
        <v>0</v>
      </c>
      <c r="N313" s="4">
        <f t="shared" si="9"/>
        <v>3.9428571428571431</v>
      </c>
      <c r="O313">
        <v>771129.07</v>
      </c>
      <c r="P313">
        <v>116851.13</v>
      </c>
    </row>
    <row r="314" spans="1:16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f t="shared" si="8"/>
        <v>0.2</v>
      </c>
      <c r="L314">
        <v>0</v>
      </c>
      <c r="M314">
        <v>3.4</v>
      </c>
      <c r="N314">
        <f t="shared" si="9"/>
        <v>3.4</v>
      </c>
      <c r="O314">
        <v>702052.47</v>
      </c>
      <c r="P314">
        <v>121732.51</v>
      </c>
    </row>
    <row r="315" spans="1:16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f t="shared" si="8"/>
        <v>4.67</v>
      </c>
      <c r="L315">
        <v>0</v>
      </c>
      <c r="N315" s="4">
        <f t="shared" si="9"/>
        <v>4.0333333333333323</v>
      </c>
      <c r="O315">
        <v>688368.46</v>
      </c>
      <c r="P315">
        <v>93588.42</v>
      </c>
    </row>
    <row r="316" spans="1:16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f t="shared" si="8"/>
        <v>4.38</v>
      </c>
      <c r="L316">
        <v>1</v>
      </c>
      <c r="M316">
        <v>3.9</v>
      </c>
      <c r="N316">
        <f t="shared" si="9"/>
        <v>3.9</v>
      </c>
      <c r="O316">
        <v>712375.77</v>
      </c>
      <c r="P316">
        <v>104171.53</v>
      </c>
    </row>
    <row r="317" spans="1:16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f t="shared" si="8"/>
        <v>4.4800000000000004</v>
      </c>
      <c r="L317">
        <v>0</v>
      </c>
      <c r="M317">
        <v>4.2</v>
      </c>
      <c r="N317">
        <f t="shared" si="9"/>
        <v>4.2</v>
      </c>
      <c r="O317">
        <v>844710.67</v>
      </c>
      <c r="P317">
        <v>137140.18</v>
      </c>
    </row>
    <row r="318" spans="1:16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f t="shared" si="8"/>
        <v>1.02</v>
      </c>
      <c r="L318">
        <v>1</v>
      </c>
      <c r="M318">
        <v>4</v>
      </c>
      <c r="N318">
        <f t="shared" si="9"/>
        <v>4</v>
      </c>
      <c r="O318">
        <v>620264.19999999995</v>
      </c>
      <c r="P318">
        <v>91365.64</v>
      </c>
    </row>
    <row r="319" spans="1:16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f t="shared" si="8"/>
        <v>0.2</v>
      </c>
      <c r="L319">
        <v>0</v>
      </c>
      <c r="M319">
        <v>3.8</v>
      </c>
      <c r="N319">
        <f t="shared" si="9"/>
        <v>3.8</v>
      </c>
      <c r="O319">
        <v>536845.42000000004</v>
      </c>
      <c r="P319">
        <v>107473.75</v>
      </c>
    </row>
    <row r="320" spans="1:16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f t="shared" si="8"/>
        <v>4.8899999999999997</v>
      </c>
      <c r="L320">
        <v>1</v>
      </c>
      <c r="M320">
        <v>4.2</v>
      </c>
      <c r="N320">
        <f t="shared" si="9"/>
        <v>4.2</v>
      </c>
      <c r="O320">
        <v>726776.22</v>
      </c>
      <c r="P320">
        <v>90804.49</v>
      </c>
    </row>
    <row r="321" spans="1:16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f t="shared" si="8"/>
        <v>11.82</v>
      </c>
      <c r="L321">
        <v>0</v>
      </c>
      <c r="M321">
        <v>4.0999999999999996</v>
      </c>
      <c r="N321">
        <f t="shared" si="9"/>
        <v>4.0999999999999996</v>
      </c>
      <c r="O321">
        <v>559660.84</v>
      </c>
      <c r="P321">
        <v>71443.61</v>
      </c>
    </row>
  </sheetData>
  <autoFilter ref="A1:P321" xr:uid="{CF2B7D5D-CBD8-4CF7-95A0-3E2BF4389D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4B91-5D1C-4B91-B07B-67C16F7F15CE}">
  <dimension ref="A1:I322"/>
  <sheetViews>
    <sheetView workbookViewId="0">
      <selection activeCell="F3" sqref="F3:F322"/>
    </sheetView>
  </sheetViews>
  <sheetFormatPr defaultRowHeight="14.5"/>
  <cols>
    <col min="1" max="1" width="15.453125" customWidth="1"/>
    <col min="2" max="2" width="15.36328125" customWidth="1"/>
    <col min="3" max="3" width="15.81640625" customWidth="1"/>
    <col min="4" max="4" width="13.7265625" customWidth="1"/>
    <col min="5" max="5" width="16.08984375" customWidth="1"/>
    <col min="6" max="6" width="16.54296875" customWidth="1"/>
    <col min="8" max="8" width="26.6328125" customWidth="1"/>
  </cols>
  <sheetData>
    <row r="1" spans="1:9" ht="16" thickBot="1">
      <c r="A1" s="11" t="s">
        <v>107</v>
      </c>
      <c r="D1" s="11" t="s">
        <v>108</v>
      </c>
    </row>
    <row r="2" spans="1:9" ht="15" thickBot="1">
      <c r="A2" s="12" t="s">
        <v>104</v>
      </c>
      <c r="B2" s="13" t="s">
        <v>105</v>
      </c>
      <c r="C2" s="14" t="s">
        <v>106</v>
      </c>
      <c r="D2" s="17" t="s">
        <v>109</v>
      </c>
      <c r="E2" s="18" t="s">
        <v>110</v>
      </c>
      <c r="F2" s="19" t="s">
        <v>111</v>
      </c>
    </row>
    <row r="3" spans="1:9">
      <c r="A3" s="6">
        <f>IF(Cleaned_Data!C2="North",1,0)</f>
        <v>0</v>
      </c>
      <c r="B3" s="5">
        <f>IF(Cleaned_Data!C2="South",1,0)</f>
        <v>0</v>
      </c>
      <c r="C3" s="15">
        <f>IF(Cleaned_Data!C2="East",1,0)</f>
        <v>1</v>
      </c>
      <c r="D3" s="6">
        <f>IF(Cleaned_Data!D2="Airport",1,0)</f>
        <v>0</v>
      </c>
      <c r="E3" s="5">
        <f>IF(Cleaned_Data!D2="High Street",1,0)</f>
        <v>0</v>
      </c>
      <c r="F3" s="7">
        <f>IF(Cleaned_Data!D2="Residential",1,0)</f>
        <v>1</v>
      </c>
      <c r="H3" s="24" t="s">
        <v>140</v>
      </c>
      <c r="I3" s="25"/>
    </row>
    <row r="4" spans="1:9">
      <c r="A4" s="6">
        <f>IF(Cleaned_Data!C3="North",1,0)</f>
        <v>0</v>
      </c>
      <c r="B4" s="5">
        <f>IF(Cleaned_Data!C3="South",1,0)</f>
        <v>0</v>
      </c>
      <c r="C4" s="15">
        <f>IF(Cleaned_Data!C3="East",1,0)</f>
        <v>1</v>
      </c>
      <c r="D4" s="6">
        <f>IF(Cleaned_Data!D3="Airport",1,0)</f>
        <v>0</v>
      </c>
      <c r="E4" s="5">
        <f>IF(Cleaned_Data!D3="High Street",1,0)</f>
        <v>0</v>
      </c>
      <c r="F4" s="7">
        <f>IF(Cleaned_Data!D3="Residential",1,0)</f>
        <v>1</v>
      </c>
      <c r="H4" s="22" t="s">
        <v>141</v>
      </c>
      <c r="I4" s="20" t="s">
        <v>27</v>
      </c>
    </row>
    <row r="5" spans="1:9" ht="15" thickBot="1">
      <c r="A5" s="6">
        <f>IF(Cleaned_Data!C4="North",1,0)</f>
        <v>0</v>
      </c>
      <c r="B5" s="5">
        <f>IF(Cleaned_Data!C4="South",1,0)</f>
        <v>0</v>
      </c>
      <c r="C5" s="15">
        <f>IF(Cleaned_Data!C4="East",1,0)</f>
        <v>1</v>
      </c>
      <c r="D5" s="6">
        <f>IF(Cleaned_Data!D4="Airport",1,0)</f>
        <v>0</v>
      </c>
      <c r="E5" s="5">
        <f>IF(Cleaned_Data!D4="High Street",1,0)</f>
        <v>0</v>
      </c>
      <c r="F5" s="7">
        <f>IF(Cleaned_Data!D4="Residential",1,0)</f>
        <v>1</v>
      </c>
      <c r="H5" s="23" t="s">
        <v>142</v>
      </c>
      <c r="I5" s="21" t="s">
        <v>28</v>
      </c>
    </row>
    <row r="6" spans="1:9">
      <c r="A6" s="6">
        <f>IF(Cleaned_Data!C5="North",1,0)</f>
        <v>0</v>
      </c>
      <c r="B6" s="5">
        <f>IF(Cleaned_Data!C5="South",1,0)</f>
        <v>0</v>
      </c>
      <c r="C6" s="15">
        <f>IF(Cleaned_Data!C5="East",1,0)</f>
        <v>1</v>
      </c>
      <c r="D6" s="6">
        <f>IF(Cleaned_Data!D5="Airport",1,0)</f>
        <v>0</v>
      </c>
      <c r="E6" s="5">
        <f>IF(Cleaned_Data!D5="High Street",1,0)</f>
        <v>0</v>
      </c>
      <c r="F6" s="7">
        <f>IF(Cleaned_Data!D5="Residential",1,0)</f>
        <v>1</v>
      </c>
    </row>
    <row r="7" spans="1:9">
      <c r="A7" s="6">
        <f>IF(Cleaned_Data!C6="North",1,0)</f>
        <v>0</v>
      </c>
      <c r="B7" s="5">
        <f>IF(Cleaned_Data!C6="South",1,0)</f>
        <v>0</v>
      </c>
      <c r="C7" s="15">
        <f>IF(Cleaned_Data!C6="East",1,0)</f>
        <v>1</v>
      </c>
      <c r="D7" s="6">
        <f>IF(Cleaned_Data!D6="Airport",1,0)</f>
        <v>0</v>
      </c>
      <c r="E7" s="5">
        <f>IF(Cleaned_Data!D6="High Street",1,0)</f>
        <v>1</v>
      </c>
      <c r="F7" s="7">
        <f>IF(Cleaned_Data!D6="Residential",1,0)</f>
        <v>0</v>
      </c>
    </row>
    <row r="8" spans="1:9">
      <c r="A8" s="6">
        <f>IF(Cleaned_Data!C7="North",1,0)</f>
        <v>0</v>
      </c>
      <c r="B8" s="5">
        <f>IF(Cleaned_Data!C7="South",1,0)</f>
        <v>0</v>
      </c>
      <c r="C8" s="15">
        <f>IF(Cleaned_Data!C7="East",1,0)</f>
        <v>1</v>
      </c>
      <c r="D8" s="6">
        <f>IF(Cleaned_Data!D7="Airport",1,0)</f>
        <v>0</v>
      </c>
      <c r="E8" s="5">
        <f>IF(Cleaned_Data!D7="High Street",1,0)</f>
        <v>1</v>
      </c>
      <c r="F8" s="7">
        <f>IF(Cleaned_Data!D7="Residential",1,0)</f>
        <v>0</v>
      </c>
    </row>
    <row r="9" spans="1:9">
      <c r="A9" s="6">
        <f>IF(Cleaned_Data!C8="North",1,0)</f>
        <v>0</v>
      </c>
      <c r="B9" s="5">
        <f>IF(Cleaned_Data!C8="South",1,0)</f>
        <v>0</v>
      </c>
      <c r="C9" s="15">
        <f>IF(Cleaned_Data!C8="East",1,0)</f>
        <v>1</v>
      </c>
      <c r="D9" s="6">
        <f>IF(Cleaned_Data!D8="Airport",1,0)</f>
        <v>0</v>
      </c>
      <c r="E9" s="5">
        <f>IF(Cleaned_Data!D8="High Street",1,0)</f>
        <v>1</v>
      </c>
      <c r="F9" s="7">
        <f>IF(Cleaned_Data!D8="Residential",1,0)</f>
        <v>0</v>
      </c>
    </row>
    <row r="10" spans="1:9">
      <c r="A10" s="6">
        <f>IF(Cleaned_Data!C9="North",1,0)</f>
        <v>0</v>
      </c>
      <c r="B10" s="5">
        <f>IF(Cleaned_Data!C9="South",1,0)</f>
        <v>0</v>
      </c>
      <c r="C10" s="15">
        <f>IF(Cleaned_Data!C9="East",1,0)</f>
        <v>1</v>
      </c>
      <c r="D10" s="6">
        <f>IF(Cleaned_Data!D9="Airport",1,0)</f>
        <v>0</v>
      </c>
      <c r="E10" s="5">
        <f>IF(Cleaned_Data!D9="High Street",1,0)</f>
        <v>1</v>
      </c>
      <c r="F10" s="7">
        <f>IF(Cleaned_Data!D9="Residential",1,0)</f>
        <v>0</v>
      </c>
    </row>
    <row r="11" spans="1:9">
      <c r="A11" s="6">
        <f>IF(Cleaned_Data!C10="North",1,0)</f>
        <v>1</v>
      </c>
      <c r="B11" s="5">
        <f>IF(Cleaned_Data!C10="South",1,0)</f>
        <v>0</v>
      </c>
      <c r="C11" s="15">
        <f>IF(Cleaned_Data!C10="East",1,0)</f>
        <v>0</v>
      </c>
      <c r="D11" s="6">
        <f>IF(Cleaned_Data!D10="Airport",1,0)</f>
        <v>1</v>
      </c>
      <c r="E11" s="5">
        <f>IF(Cleaned_Data!D10="High Street",1,0)</f>
        <v>0</v>
      </c>
      <c r="F11" s="7">
        <f>IF(Cleaned_Data!D10="Residential",1,0)</f>
        <v>0</v>
      </c>
    </row>
    <row r="12" spans="1:9">
      <c r="A12" s="6">
        <f>IF(Cleaned_Data!C11="North",1,0)</f>
        <v>1</v>
      </c>
      <c r="B12" s="5">
        <f>IF(Cleaned_Data!C11="South",1,0)</f>
        <v>0</v>
      </c>
      <c r="C12" s="15">
        <f>IF(Cleaned_Data!C11="East",1,0)</f>
        <v>0</v>
      </c>
      <c r="D12" s="6">
        <f>IF(Cleaned_Data!D11="Airport",1,0)</f>
        <v>1</v>
      </c>
      <c r="E12" s="5">
        <f>IF(Cleaned_Data!D11="High Street",1,0)</f>
        <v>0</v>
      </c>
      <c r="F12" s="7">
        <f>IF(Cleaned_Data!D11="Residential",1,0)</f>
        <v>0</v>
      </c>
    </row>
    <row r="13" spans="1:9">
      <c r="A13" s="6">
        <f>IF(Cleaned_Data!C12="North",1,0)</f>
        <v>1</v>
      </c>
      <c r="B13" s="5">
        <f>IF(Cleaned_Data!C12="South",1,0)</f>
        <v>0</v>
      </c>
      <c r="C13" s="15">
        <f>IF(Cleaned_Data!C12="East",1,0)</f>
        <v>0</v>
      </c>
      <c r="D13" s="6">
        <f>IF(Cleaned_Data!D12="Airport",1,0)</f>
        <v>1</v>
      </c>
      <c r="E13" s="5">
        <f>IF(Cleaned_Data!D12="High Street",1,0)</f>
        <v>0</v>
      </c>
      <c r="F13" s="7">
        <f>IF(Cleaned_Data!D12="Residential",1,0)</f>
        <v>0</v>
      </c>
    </row>
    <row r="14" spans="1:9">
      <c r="A14" s="6">
        <f>IF(Cleaned_Data!C13="North",1,0)</f>
        <v>1</v>
      </c>
      <c r="B14" s="5">
        <f>IF(Cleaned_Data!C13="South",1,0)</f>
        <v>0</v>
      </c>
      <c r="C14" s="15">
        <f>IF(Cleaned_Data!C13="East",1,0)</f>
        <v>0</v>
      </c>
      <c r="D14" s="6">
        <f>IF(Cleaned_Data!D13="Airport",1,0)</f>
        <v>1</v>
      </c>
      <c r="E14" s="5">
        <f>IF(Cleaned_Data!D13="High Street",1,0)</f>
        <v>0</v>
      </c>
      <c r="F14" s="7">
        <f>IF(Cleaned_Data!D13="Residential",1,0)</f>
        <v>0</v>
      </c>
    </row>
    <row r="15" spans="1:9">
      <c r="A15" s="6">
        <f>IF(Cleaned_Data!C14="North",1,0)</f>
        <v>0</v>
      </c>
      <c r="B15" s="5">
        <f>IF(Cleaned_Data!C14="South",1,0)</f>
        <v>0</v>
      </c>
      <c r="C15" s="15">
        <f>IF(Cleaned_Data!C14="East",1,0)</f>
        <v>1</v>
      </c>
      <c r="D15" s="6">
        <f>IF(Cleaned_Data!D14="Airport",1,0)</f>
        <v>0</v>
      </c>
      <c r="E15" s="5">
        <f>IF(Cleaned_Data!D14="High Street",1,0)</f>
        <v>0</v>
      </c>
      <c r="F15" s="7">
        <f>IF(Cleaned_Data!D14="Residential",1,0)</f>
        <v>1</v>
      </c>
    </row>
    <row r="16" spans="1:9">
      <c r="A16" s="6">
        <f>IF(Cleaned_Data!C15="North",1,0)</f>
        <v>0</v>
      </c>
      <c r="B16" s="5">
        <f>IF(Cleaned_Data!C15="South",1,0)</f>
        <v>0</v>
      </c>
      <c r="C16" s="15">
        <f>IF(Cleaned_Data!C15="East",1,0)</f>
        <v>1</v>
      </c>
      <c r="D16" s="6">
        <f>IF(Cleaned_Data!D15="Airport",1,0)</f>
        <v>0</v>
      </c>
      <c r="E16" s="5">
        <f>IF(Cleaned_Data!D15="High Street",1,0)</f>
        <v>0</v>
      </c>
      <c r="F16" s="7">
        <f>IF(Cleaned_Data!D15="Residential",1,0)</f>
        <v>1</v>
      </c>
    </row>
    <row r="17" spans="1:6">
      <c r="A17" s="6">
        <f>IF(Cleaned_Data!C16="North",1,0)</f>
        <v>0</v>
      </c>
      <c r="B17" s="5">
        <f>IF(Cleaned_Data!C16="South",1,0)</f>
        <v>0</v>
      </c>
      <c r="C17" s="15">
        <f>IF(Cleaned_Data!C16="East",1,0)</f>
        <v>1</v>
      </c>
      <c r="D17" s="6">
        <f>IF(Cleaned_Data!D16="Airport",1,0)</f>
        <v>0</v>
      </c>
      <c r="E17" s="5">
        <f>IF(Cleaned_Data!D16="High Street",1,0)</f>
        <v>0</v>
      </c>
      <c r="F17" s="7">
        <f>IF(Cleaned_Data!D16="Residential",1,0)</f>
        <v>1</v>
      </c>
    </row>
    <row r="18" spans="1:6">
      <c r="A18" s="6">
        <f>IF(Cleaned_Data!C17="North",1,0)</f>
        <v>0</v>
      </c>
      <c r="B18" s="5">
        <f>IF(Cleaned_Data!C17="South",1,0)</f>
        <v>0</v>
      </c>
      <c r="C18" s="15">
        <f>IF(Cleaned_Data!C17="East",1,0)</f>
        <v>1</v>
      </c>
      <c r="D18" s="6">
        <f>IF(Cleaned_Data!D17="Airport",1,0)</f>
        <v>0</v>
      </c>
      <c r="E18" s="5">
        <f>IF(Cleaned_Data!D17="High Street",1,0)</f>
        <v>0</v>
      </c>
      <c r="F18" s="7">
        <f>IF(Cleaned_Data!D17="Residential",1,0)</f>
        <v>1</v>
      </c>
    </row>
    <row r="19" spans="1:6">
      <c r="A19" s="6">
        <f>IF(Cleaned_Data!C18="North",1,0)</f>
        <v>0</v>
      </c>
      <c r="B19" s="5">
        <f>IF(Cleaned_Data!C18="South",1,0)</f>
        <v>1</v>
      </c>
      <c r="C19" s="15">
        <f>IF(Cleaned_Data!C18="East",1,0)</f>
        <v>0</v>
      </c>
      <c r="D19" s="6">
        <f>IF(Cleaned_Data!D18="Airport",1,0)</f>
        <v>0</v>
      </c>
      <c r="E19" s="5">
        <f>IF(Cleaned_Data!D18="High Street",1,0)</f>
        <v>0</v>
      </c>
      <c r="F19" s="7">
        <f>IF(Cleaned_Data!D18="Residential",1,0)</f>
        <v>1</v>
      </c>
    </row>
    <row r="20" spans="1:6">
      <c r="A20" s="6">
        <f>IF(Cleaned_Data!C19="North",1,0)</f>
        <v>0</v>
      </c>
      <c r="B20" s="5">
        <f>IF(Cleaned_Data!C19="South",1,0)</f>
        <v>1</v>
      </c>
      <c r="C20" s="15">
        <f>IF(Cleaned_Data!C19="East",1,0)</f>
        <v>0</v>
      </c>
      <c r="D20" s="6">
        <f>IF(Cleaned_Data!D19="Airport",1,0)</f>
        <v>0</v>
      </c>
      <c r="E20" s="5">
        <f>IF(Cleaned_Data!D19="High Street",1,0)</f>
        <v>0</v>
      </c>
      <c r="F20" s="7">
        <f>IF(Cleaned_Data!D19="Residential",1,0)</f>
        <v>1</v>
      </c>
    </row>
    <row r="21" spans="1:6">
      <c r="A21" s="6">
        <f>IF(Cleaned_Data!C20="North",1,0)</f>
        <v>0</v>
      </c>
      <c r="B21" s="5">
        <f>IF(Cleaned_Data!C20="South",1,0)</f>
        <v>1</v>
      </c>
      <c r="C21" s="15">
        <f>IF(Cleaned_Data!C20="East",1,0)</f>
        <v>0</v>
      </c>
      <c r="D21" s="6">
        <f>IF(Cleaned_Data!D20="Airport",1,0)</f>
        <v>0</v>
      </c>
      <c r="E21" s="5">
        <f>IF(Cleaned_Data!D20="High Street",1,0)</f>
        <v>0</v>
      </c>
      <c r="F21" s="7">
        <f>IF(Cleaned_Data!D20="Residential",1,0)</f>
        <v>1</v>
      </c>
    </row>
    <row r="22" spans="1:6">
      <c r="A22" s="6">
        <f>IF(Cleaned_Data!C21="North",1,0)</f>
        <v>0</v>
      </c>
      <c r="B22" s="5">
        <f>IF(Cleaned_Data!C21="South",1,0)</f>
        <v>1</v>
      </c>
      <c r="C22" s="15">
        <f>IF(Cleaned_Data!C21="East",1,0)</f>
        <v>0</v>
      </c>
      <c r="D22" s="6">
        <f>IF(Cleaned_Data!D21="Airport",1,0)</f>
        <v>0</v>
      </c>
      <c r="E22" s="5">
        <f>IF(Cleaned_Data!D21="High Street",1,0)</f>
        <v>0</v>
      </c>
      <c r="F22" s="7">
        <f>IF(Cleaned_Data!D21="Residential",1,0)</f>
        <v>1</v>
      </c>
    </row>
    <row r="23" spans="1:6">
      <c r="A23" s="6">
        <f>IF(Cleaned_Data!C22="North",1,0)</f>
        <v>1</v>
      </c>
      <c r="B23" s="5">
        <f>IF(Cleaned_Data!C22="South",1,0)</f>
        <v>0</v>
      </c>
      <c r="C23" s="15">
        <f>IF(Cleaned_Data!C22="East",1,0)</f>
        <v>0</v>
      </c>
      <c r="D23" s="6">
        <f>IF(Cleaned_Data!D22="Airport",1,0)</f>
        <v>0</v>
      </c>
      <c r="E23" s="5">
        <f>IF(Cleaned_Data!D22="High Street",1,0)</f>
        <v>0</v>
      </c>
      <c r="F23" s="7">
        <f>IF(Cleaned_Data!D22="Residential",1,0)</f>
        <v>1</v>
      </c>
    </row>
    <row r="24" spans="1:6">
      <c r="A24" s="6">
        <f>IF(Cleaned_Data!C23="North",1,0)</f>
        <v>1</v>
      </c>
      <c r="B24" s="5">
        <f>IF(Cleaned_Data!C23="South",1,0)</f>
        <v>0</v>
      </c>
      <c r="C24" s="15">
        <f>IF(Cleaned_Data!C23="East",1,0)</f>
        <v>0</v>
      </c>
      <c r="D24" s="6">
        <f>IF(Cleaned_Data!D23="Airport",1,0)</f>
        <v>0</v>
      </c>
      <c r="E24" s="5">
        <f>IF(Cleaned_Data!D23="High Street",1,0)</f>
        <v>0</v>
      </c>
      <c r="F24" s="7">
        <f>IF(Cleaned_Data!D23="Residential",1,0)</f>
        <v>1</v>
      </c>
    </row>
    <row r="25" spans="1:6">
      <c r="A25" s="6">
        <f>IF(Cleaned_Data!C24="North",1,0)</f>
        <v>1</v>
      </c>
      <c r="B25" s="5">
        <f>IF(Cleaned_Data!C24="South",1,0)</f>
        <v>0</v>
      </c>
      <c r="C25" s="15">
        <f>IF(Cleaned_Data!C24="East",1,0)</f>
        <v>0</v>
      </c>
      <c r="D25" s="6">
        <f>IF(Cleaned_Data!D24="Airport",1,0)</f>
        <v>0</v>
      </c>
      <c r="E25" s="5">
        <f>IF(Cleaned_Data!D24="High Street",1,0)</f>
        <v>0</v>
      </c>
      <c r="F25" s="7">
        <f>IF(Cleaned_Data!D24="Residential",1,0)</f>
        <v>1</v>
      </c>
    </row>
    <row r="26" spans="1:6">
      <c r="A26" s="6">
        <f>IF(Cleaned_Data!C25="North",1,0)</f>
        <v>1</v>
      </c>
      <c r="B26" s="5">
        <f>IF(Cleaned_Data!C25="South",1,0)</f>
        <v>0</v>
      </c>
      <c r="C26" s="15">
        <f>IF(Cleaned_Data!C25="East",1,0)</f>
        <v>0</v>
      </c>
      <c r="D26" s="6">
        <f>IF(Cleaned_Data!D25="Airport",1,0)</f>
        <v>0</v>
      </c>
      <c r="E26" s="5">
        <f>IF(Cleaned_Data!D25="High Street",1,0)</f>
        <v>0</v>
      </c>
      <c r="F26" s="7">
        <f>IF(Cleaned_Data!D25="Residential",1,0)</f>
        <v>1</v>
      </c>
    </row>
    <row r="27" spans="1:6">
      <c r="A27" s="6">
        <f>IF(Cleaned_Data!C26="North",1,0)</f>
        <v>0</v>
      </c>
      <c r="B27" s="5">
        <f>IF(Cleaned_Data!C26="South",1,0)</f>
        <v>0</v>
      </c>
      <c r="C27" s="15">
        <f>IF(Cleaned_Data!C26="East",1,0)</f>
        <v>0</v>
      </c>
      <c r="D27" s="6">
        <f>IF(Cleaned_Data!D26="Airport",1,0)</f>
        <v>0</v>
      </c>
      <c r="E27" s="5">
        <f>IF(Cleaned_Data!D26="High Street",1,0)</f>
        <v>0</v>
      </c>
      <c r="F27" s="7">
        <f>IF(Cleaned_Data!D26="Residential",1,0)</f>
        <v>0</v>
      </c>
    </row>
    <row r="28" spans="1:6">
      <c r="A28" s="6">
        <f>IF(Cleaned_Data!C27="North",1,0)</f>
        <v>0</v>
      </c>
      <c r="B28" s="5">
        <f>IF(Cleaned_Data!C27="South",1,0)</f>
        <v>0</v>
      </c>
      <c r="C28" s="15">
        <f>IF(Cleaned_Data!C27="East",1,0)</f>
        <v>0</v>
      </c>
      <c r="D28" s="6">
        <f>IF(Cleaned_Data!D27="Airport",1,0)</f>
        <v>0</v>
      </c>
      <c r="E28" s="5">
        <f>IF(Cleaned_Data!D27="High Street",1,0)</f>
        <v>0</v>
      </c>
      <c r="F28" s="7">
        <f>IF(Cleaned_Data!D27="Residential",1,0)</f>
        <v>0</v>
      </c>
    </row>
    <row r="29" spans="1:6">
      <c r="A29" s="6">
        <f>IF(Cleaned_Data!C28="North",1,0)</f>
        <v>0</v>
      </c>
      <c r="B29" s="5">
        <f>IF(Cleaned_Data!C28="South",1,0)</f>
        <v>0</v>
      </c>
      <c r="C29" s="15">
        <f>IF(Cleaned_Data!C28="East",1,0)</f>
        <v>0</v>
      </c>
      <c r="D29" s="6">
        <f>IF(Cleaned_Data!D28="Airport",1,0)</f>
        <v>0</v>
      </c>
      <c r="E29" s="5">
        <f>IF(Cleaned_Data!D28="High Street",1,0)</f>
        <v>0</v>
      </c>
      <c r="F29" s="7">
        <f>IF(Cleaned_Data!D28="Residential",1,0)</f>
        <v>0</v>
      </c>
    </row>
    <row r="30" spans="1:6">
      <c r="A30" s="6">
        <f>IF(Cleaned_Data!C29="North",1,0)</f>
        <v>0</v>
      </c>
      <c r="B30" s="5">
        <f>IF(Cleaned_Data!C29="South",1,0)</f>
        <v>0</v>
      </c>
      <c r="C30" s="15">
        <f>IF(Cleaned_Data!C29="East",1,0)</f>
        <v>0</v>
      </c>
      <c r="D30" s="6">
        <f>IF(Cleaned_Data!D29="Airport",1,0)</f>
        <v>0</v>
      </c>
      <c r="E30" s="5">
        <f>IF(Cleaned_Data!D29="High Street",1,0)</f>
        <v>0</v>
      </c>
      <c r="F30" s="7">
        <f>IF(Cleaned_Data!D29="Residential",1,0)</f>
        <v>0</v>
      </c>
    </row>
    <row r="31" spans="1:6">
      <c r="A31" s="6">
        <f>IF(Cleaned_Data!C30="North",1,0)</f>
        <v>0</v>
      </c>
      <c r="B31" s="5">
        <f>IF(Cleaned_Data!C30="South",1,0)</f>
        <v>0</v>
      </c>
      <c r="C31" s="15">
        <f>IF(Cleaned_Data!C30="East",1,0)</f>
        <v>1</v>
      </c>
      <c r="D31" s="6">
        <f>IF(Cleaned_Data!D30="Airport",1,0)</f>
        <v>0</v>
      </c>
      <c r="E31" s="5">
        <f>IF(Cleaned_Data!D30="High Street",1,0)</f>
        <v>0</v>
      </c>
      <c r="F31" s="7">
        <f>IF(Cleaned_Data!D30="Residential",1,0)</f>
        <v>1</v>
      </c>
    </row>
    <row r="32" spans="1:6">
      <c r="A32" s="6">
        <f>IF(Cleaned_Data!C31="North",1,0)</f>
        <v>0</v>
      </c>
      <c r="B32" s="5">
        <f>IF(Cleaned_Data!C31="South",1,0)</f>
        <v>0</v>
      </c>
      <c r="C32" s="15">
        <f>IF(Cleaned_Data!C31="East",1,0)</f>
        <v>1</v>
      </c>
      <c r="D32" s="6">
        <f>IF(Cleaned_Data!D31="Airport",1,0)</f>
        <v>0</v>
      </c>
      <c r="E32" s="5">
        <f>IF(Cleaned_Data!D31="High Street",1,0)</f>
        <v>0</v>
      </c>
      <c r="F32" s="7">
        <f>IF(Cleaned_Data!D31="Residential",1,0)</f>
        <v>1</v>
      </c>
    </row>
    <row r="33" spans="1:6">
      <c r="A33" s="6">
        <f>IF(Cleaned_Data!C32="North",1,0)</f>
        <v>0</v>
      </c>
      <c r="B33" s="5">
        <f>IF(Cleaned_Data!C32="South",1,0)</f>
        <v>0</v>
      </c>
      <c r="C33" s="15">
        <f>IF(Cleaned_Data!C32="East",1,0)</f>
        <v>1</v>
      </c>
      <c r="D33" s="6">
        <f>IF(Cleaned_Data!D32="Airport",1,0)</f>
        <v>0</v>
      </c>
      <c r="E33" s="5">
        <f>IF(Cleaned_Data!D32="High Street",1,0)</f>
        <v>0</v>
      </c>
      <c r="F33" s="7">
        <f>IF(Cleaned_Data!D32="Residential",1,0)</f>
        <v>1</v>
      </c>
    </row>
    <row r="34" spans="1:6">
      <c r="A34" s="6">
        <f>IF(Cleaned_Data!C33="North",1,0)</f>
        <v>0</v>
      </c>
      <c r="B34" s="5">
        <f>IF(Cleaned_Data!C33="South",1,0)</f>
        <v>0</v>
      </c>
      <c r="C34" s="15">
        <f>IF(Cleaned_Data!C33="East",1,0)</f>
        <v>1</v>
      </c>
      <c r="D34" s="6">
        <f>IF(Cleaned_Data!D33="Airport",1,0)</f>
        <v>0</v>
      </c>
      <c r="E34" s="5">
        <f>IF(Cleaned_Data!D33="High Street",1,0)</f>
        <v>0</v>
      </c>
      <c r="F34" s="7">
        <f>IF(Cleaned_Data!D33="Residential",1,0)</f>
        <v>1</v>
      </c>
    </row>
    <row r="35" spans="1:6">
      <c r="A35" s="6">
        <f>IF(Cleaned_Data!C34="North",1,0)</f>
        <v>1</v>
      </c>
      <c r="B35" s="5">
        <f>IF(Cleaned_Data!C34="South",1,0)</f>
        <v>0</v>
      </c>
      <c r="C35" s="15">
        <f>IF(Cleaned_Data!C34="East",1,0)</f>
        <v>0</v>
      </c>
      <c r="D35" s="6">
        <f>IF(Cleaned_Data!D34="Airport",1,0)</f>
        <v>0</v>
      </c>
      <c r="E35" s="5">
        <f>IF(Cleaned_Data!D34="High Street",1,0)</f>
        <v>0</v>
      </c>
      <c r="F35" s="7">
        <f>IF(Cleaned_Data!D34="Residential",1,0)</f>
        <v>1</v>
      </c>
    </row>
    <row r="36" spans="1:6">
      <c r="A36" s="6">
        <f>IF(Cleaned_Data!C35="North",1,0)</f>
        <v>1</v>
      </c>
      <c r="B36" s="5">
        <f>IF(Cleaned_Data!C35="South",1,0)</f>
        <v>0</v>
      </c>
      <c r="C36" s="15">
        <f>IF(Cleaned_Data!C35="East",1,0)</f>
        <v>0</v>
      </c>
      <c r="D36" s="6">
        <f>IF(Cleaned_Data!D35="Airport",1,0)</f>
        <v>0</v>
      </c>
      <c r="E36" s="5">
        <f>IF(Cleaned_Data!D35="High Street",1,0)</f>
        <v>0</v>
      </c>
      <c r="F36" s="7">
        <f>IF(Cleaned_Data!D35="Residential",1,0)</f>
        <v>1</v>
      </c>
    </row>
    <row r="37" spans="1:6">
      <c r="A37" s="6">
        <f>IF(Cleaned_Data!C36="North",1,0)</f>
        <v>1</v>
      </c>
      <c r="B37" s="5">
        <f>IF(Cleaned_Data!C36="South",1,0)</f>
        <v>0</v>
      </c>
      <c r="C37" s="15">
        <f>IF(Cleaned_Data!C36="East",1,0)</f>
        <v>0</v>
      </c>
      <c r="D37" s="6">
        <f>IF(Cleaned_Data!D36="Airport",1,0)</f>
        <v>0</v>
      </c>
      <c r="E37" s="5">
        <f>IF(Cleaned_Data!D36="High Street",1,0)</f>
        <v>0</v>
      </c>
      <c r="F37" s="7">
        <f>IF(Cleaned_Data!D36="Residential",1,0)</f>
        <v>1</v>
      </c>
    </row>
    <row r="38" spans="1:6">
      <c r="A38" s="6">
        <f>IF(Cleaned_Data!C37="North",1,0)</f>
        <v>1</v>
      </c>
      <c r="B38" s="5">
        <f>IF(Cleaned_Data!C37="South",1,0)</f>
        <v>0</v>
      </c>
      <c r="C38" s="15">
        <f>IF(Cleaned_Data!C37="East",1,0)</f>
        <v>0</v>
      </c>
      <c r="D38" s="6">
        <f>IF(Cleaned_Data!D37="Airport",1,0)</f>
        <v>0</v>
      </c>
      <c r="E38" s="5">
        <f>IF(Cleaned_Data!D37="High Street",1,0)</f>
        <v>0</v>
      </c>
      <c r="F38" s="7">
        <f>IF(Cleaned_Data!D37="Residential",1,0)</f>
        <v>1</v>
      </c>
    </row>
    <row r="39" spans="1:6">
      <c r="A39" s="6">
        <f>IF(Cleaned_Data!C38="North",1,0)</f>
        <v>1</v>
      </c>
      <c r="B39" s="5">
        <f>IF(Cleaned_Data!C38="South",1,0)</f>
        <v>0</v>
      </c>
      <c r="C39" s="15">
        <f>IF(Cleaned_Data!C38="East",1,0)</f>
        <v>0</v>
      </c>
      <c r="D39" s="6">
        <f>IF(Cleaned_Data!D38="Airport",1,0)</f>
        <v>0</v>
      </c>
      <c r="E39" s="5">
        <f>IF(Cleaned_Data!D38="High Street",1,0)</f>
        <v>0</v>
      </c>
      <c r="F39" s="7">
        <f>IF(Cleaned_Data!D38="Residential",1,0)</f>
        <v>0</v>
      </c>
    </row>
    <row r="40" spans="1:6">
      <c r="A40" s="6">
        <f>IF(Cleaned_Data!C39="North",1,0)</f>
        <v>1</v>
      </c>
      <c r="B40" s="5">
        <f>IF(Cleaned_Data!C39="South",1,0)</f>
        <v>0</v>
      </c>
      <c r="C40" s="15">
        <f>IF(Cleaned_Data!C39="East",1,0)</f>
        <v>0</v>
      </c>
      <c r="D40" s="6">
        <f>IF(Cleaned_Data!D39="Airport",1,0)</f>
        <v>0</v>
      </c>
      <c r="E40" s="5">
        <f>IF(Cleaned_Data!D39="High Street",1,0)</f>
        <v>0</v>
      </c>
      <c r="F40" s="7">
        <f>IF(Cleaned_Data!D39="Residential",1,0)</f>
        <v>0</v>
      </c>
    </row>
    <row r="41" spans="1:6">
      <c r="A41" s="6">
        <f>IF(Cleaned_Data!C40="North",1,0)</f>
        <v>1</v>
      </c>
      <c r="B41" s="5">
        <f>IF(Cleaned_Data!C40="South",1,0)</f>
        <v>0</v>
      </c>
      <c r="C41" s="15">
        <f>IF(Cleaned_Data!C40="East",1,0)</f>
        <v>0</v>
      </c>
      <c r="D41" s="6">
        <f>IF(Cleaned_Data!D40="Airport",1,0)</f>
        <v>0</v>
      </c>
      <c r="E41" s="5">
        <f>IF(Cleaned_Data!D40="High Street",1,0)</f>
        <v>0</v>
      </c>
      <c r="F41" s="7">
        <f>IF(Cleaned_Data!D40="Residential",1,0)</f>
        <v>0</v>
      </c>
    </row>
    <row r="42" spans="1:6">
      <c r="A42" s="6">
        <f>IF(Cleaned_Data!C41="North",1,0)</f>
        <v>1</v>
      </c>
      <c r="B42" s="5">
        <f>IF(Cleaned_Data!C41="South",1,0)</f>
        <v>0</v>
      </c>
      <c r="C42" s="15">
        <f>IF(Cleaned_Data!C41="East",1,0)</f>
        <v>0</v>
      </c>
      <c r="D42" s="6">
        <f>IF(Cleaned_Data!D41="Airport",1,0)</f>
        <v>0</v>
      </c>
      <c r="E42" s="5">
        <f>IF(Cleaned_Data!D41="High Street",1,0)</f>
        <v>0</v>
      </c>
      <c r="F42" s="7">
        <f>IF(Cleaned_Data!D41="Residential",1,0)</f>
        <v>0</v>
      </c>
    </row>
    <row r="43" spans="1:6">
      <c r="A43" s="6">
        <f>IF(Cleaned_Data!C42="North",1,0)</f>
        <v>0</v>
      </c>
      <c r="B43" s="5">
        <f>IF(Cleaned_Data!C42="South",1,0)</f>
        <v>0</v>
      </c>
      <c r="C43" s="15">
        <f>IF(Cleaned_Data!C42="East",1,0)</f>
        <v>1</v>
      </c>
      <c r="D43" s="6">
        <f>IF(Cleaned_Data!D42="Airport",1,0)</f>
        <v>0</v>
      </c>
      <c r="E43" s="5">
        <f>IF(Cleaned_Data!D42="High Street",1,0)</f>
        <v>0</v>
      </c>
      <c r="F43" s="7">
        <f>IF(Cleaned_Data!D42="Residential",1,0)</f>
        <v>0</v>
      </c>
    </row>
    <row r="44" spans="1:6">
      <c r="A44" s="6">
        <f>IF(Cleaned_Data!C43="North",1,0)</f>
        <v>0</v>
      </c>
      <c r="B44" s="5">
        <f>IF(Cleaned_Data!C43="South",1,0)</f>
        <v>0</v>
      </c>
      <c r="C44" s="15">
        <f>IF(Cleaned_Data!C43="East",1,0)</f>
        <v>1</v>
      </c>
      <c r="D44" s="6">
        <f>IF(Cleaned_Data!D43="Airport",1,0)</f>
        <v>0</v>
      </c>
      <c r="E44" s="5">
        <f>IF(Cleaned_Data!D43="High Street",1,0)</f>
        <v>0</v>
      </c>
      <c r="F44" s="7">
        <f>IF(Cleaned_Data!D43="Residential",1,0)</f>
        <v>0</v>
      </c>
    </row>
    <row r="45" spans="1:6">
      <c r="A45" s="6">
        <f>IF(Cleaned_Data!C44="North",1,0)</f>
        <v>0</v>
      </c>
      <c r="B45" s="5">
        <f>IF(Cleaned_Data!C44="South",1,0)</f>
        <v>0</v>
      </c>
      <c r="C45" s="15">
        <f>IF(Cleaned_Data!C44="East",1,0)</f>
        <v>1</v>
      </c>
      <c r="D45" s="6">
        <f>IF(Cleaned_Data!D44="Airport",1,0)</f>
        <v>0</v>
      </c>
      <c r="E45" s="5">
        <f>IF(Cleaned_Data!D44="High Street",1,0)</f>
        <v>0</v>
      </c>
      <c r="F45" s="7">
        <f>IF(Cleaned_Data!D44="Residential",1,0)</f>
        <v>0</v>
      </c>
    </row>
    <row r="46" spans="1:6">
      <c r="A46" s="6">
        <f>IF(Cleaned_Data!C45="North",1,0)</f>
        <v>0</v>
      </c>
      <c r="B46" s="5">
        <f>IF(Cleaned_Data!C45="South",1,0)</f>
        <v>0</v>
      </c>
      <c r="C46" s="15">
        <f>IF(Cleaned_Data!C45="East",1,0)</f>
        <v>1</v>
      </c>
      <c r="D46" s="6">
        <f>IF(Cleaned_Data!D45="Airport",1,0)</f>
        <v>0</v>
      </c>
      <c r="E46" s="5">
        <f>IF(Cleaned_Data!D45="High Street",1,0)</f>
        <v>0</v>
      </c>
      <c r="F46" s="7">
        <f>IF(Cleaned_Data!D45="Residential",1,0)</f>
        <v>0</v>
      </c>
    </row>
    <row r="47" spans="1:6">
      <c r="A47" s="6">
        <f>IF(Cleaned_Data!C46="North",1,0)</f>
        <v>0</v>
      </c>
      <c r="B47" s="5">
        <f>IF(Cleaned_Data!C46="South",1,0)</f>
        <v>0</v>
      </c>
      <c r="C47" s="15">
        <f>IF(Cleaned_Data!C46="East",1,0)</f>
        <v>0</v>
      </c>
      <c r="D47" s="6">
        <f>IF(Cleaned_Data!D46="Airport",1,0)</f>
        <v>0</v>
      </c>
      <c r="E47" s="5">
        <f>IF(Cleaned_Data!D46="High Street",1,0)</f>
        <v>0</v>
      </c>
      <c r="F47" s="7">
        <f>IF(Cleaned_Data!D46="Residential",1,0)</f>
        <v>1</v>
      </c>
    </row>
    <row r="48" spans="1:6">
      <c r="A48" s="6">
        <f>IF(Cleaned_Data!C47="North",1,0)</f>
        <v>0</v>
      </c>
      <c r="B48" s="5">
        <f>IF(Cleaned_Data!C47="South",1,0)</f>
        <v>0</v>
      </c>
      <c r="C48" s="15">
        <f>IF(Cleaned_Data!C47="East",1,0)</f>
        <v>0</v>
      </c>
      <c r="D48" s="6">
        <f>IF(Cleaned_Data!D47="Airport",1,0)</f>
        <v>0</v>
      </c>
      <c r="E48" s="5">
        <f>IF(Cleaned_Data!D47="High Street",1,0)</f>
        <v>0</v>
      </c>
      <c r="F48" s="7">
        <f>IF(Cleaned_Data!D47="Residential",1,0)</f>
        <v>1</v>
      </c>
    </row>
    <row r="49" spans="1:6">
      <c r="A49" s="6">
        <f>IF(Cleaned_Data!C48="North",1,0)</f>
        <v>0</v>
      </c>
      <c r="B49" s="5">
        <f>IF(Cleaned_Data!C48="South",1,0)</f>
        <v>0</v>
      </c>
      <c r="C49" s="15">
        <f>IF(Cleaned_Data!C48="East",1,0)</f>
        <v>0</v>
      </c>
      <c r="D49" s="6">
        <f>IF(Cleaned_Data!D48="Airport",1,0)</f>
        <v>0</v>
      </c>
      <c r="E49" s="5">
        <f>IF(Cleaned_Data!D48="High Street",1,0)</f>
        <v>0</v>
      </c>
      <c r="F49" s="7">
        <f>IF(Cleaned_Data!D48="Residential",1,0)</f>
        <v>1</v>
      </c>
    </row>
    <row r="50" spans="1:6">
      <c r="A50" s="6">
        <f>IF(Cleaned_Data!C49="North",1,0)</f>
        <v>0</v>
      </c>
      <c r="B50" s="5">
        <f>IF(Cleaned_Data!C49="South",1,0)</f>
        <v>0</v>
      </c>
      <c r="C50" s="15">
        <f>IF(Cleaned_Data!C49="East",1,0)</f>
        <v>0</v>
      </c>
      <c r="D50" s="6">
        <f>IF(Cleaned_Data!D49="Airport",1,0)</f>
        <v>0</v>
      </c>
      <c r="E50" s="5">
        <f>IF(Cleaned_Data!D49="High Street",1,0)</f>
        <v>0</v>
      </c>
      <c r="F50" s="7">
        <f>IF(Cleaned_Data!D49="Residential",1,0)</f>
        <v>1</v>
      </c>
    </row>
    <row r="51" spans="1:6">
      <c r="A51" s="6">
        <f>IF(Cleaned_Data!C50="North",1,0)</f>
        <v>1</v>
      </c>
      <c r="B51" s="5">
        <f>IF(Cleaned_Data!C50="South",1,0)</f>
        <v>0</v>
      </c>
      <c r="C51" s="15">
        <f>IF(Cleaned_Data!C50="East",1,0)</f>
        <v>0</v>
      </c>
      <c r="D51" s="6">
        <f>IF(Cleaned_Data!D50="Airport",1,0)</f>
        <v>0</v>
      </c>
      <c r="E51" s="5">
        <f>IF(Cleaned_Data!D50="High Street",1,0)</f>
        <v>0</v>
      </c>
      <c r="F51" s="7">
        <f>IF(Cleaned_Data!D50="Residential",1,0)</f>
        <v>0</v>
      </c>
    </row>
    <row r="52" spans="1:6">
      <c r="A52" s="6">
        <f>IF(Cleaned_Data!C51="North",1,0)</f>
        <v>1</v>
      </c>
      <c r="B52" s="5">
        <f>IF(Cleaned_Data!C51="South",1,0)</f>
        <v>0</v>
      </c>
      <c r="C52" s="15">
        <f>IF(Cleaned_Data!C51="East",1,0)</f>
        <v>0</v>
      </c>
      <c r="D52" s="6">
        <f>IF(Cleaned_Data!D51="Airport",1,0)</f>
        <v>0</v>
      </c>
      <c r="E52" s="5">
        <f>IF(Cleaned_Data!D51="High Street",1,0)</f>
        <v>0</v>
      </c>
      <c r="F52" s="7">
        <f>IF(Cleaned_Data!D51="Residential",1,0)</f>
        <v>0</v>
      </c>
    </row>
    <row r="53" spans="1:6">
      <c r="A53" s="6">
        <f>IF(Cleaned_Data!C52="North",1,0)</f>
        <v>1</v>
      </c>
      <c r="B53" s="5">
        <f>IF(Cleaned_Data!C52="South",1,0)</f>
        <v>0</v>
      </c>
      <c r="C53" s="15">
        <f>IF(Cleaned_Data!C52="East",1,0)</f>
        <v>0</v>
      </c>
      <c r="D53" s="6">
        <f>IF(Cleaned_Data!D52="Airport",1,0)</f>
        <v>0</v>
      </c>
      <c r="E53" s="5">
        <f>IF(Cleaned_Data!D52="High Street",1,0)</f>
        <v>0</v>
      </c>
      <c r="F53" s="7">
        <f>IF(Cleaned_Data!D52="Residential",1,0)</f>
        <v>0</v>
      </c>
    </row>
    <row r="54" spans="1:6">
      <c r="A54" s="6">
        <f>IF(Cleaned_Data!C53="North",1,0)</f>
        <v>1</v>
      </c>
      <c r="B54" s="5">
        <f>IF(Cleaned_Data!C53="South",1,0)</f>
        <v>0</v>
      </c>
      <c r="C54" s="15">
        <f>IF(Cleaned_Data!C53="East",1,0)</f>
        <v>0</v>
      </c>
      <c r="D54" s="6">
        <f>IF(Cleaned_Data!D53="Airport",1,0)</f>
        <v>0</v>
      </c>
      <c r="E54" s="5">
        <f>IF(Cleaned_Data!D53="High Street",1,0)</f>
        <v>0</v>
      </c>
      <c r="F54" s="7">
        <f>IF(Cleaned_Data!D53="Residential",1,0)</f>
        <v>0</v>
      </c>
    </row>
    <row r="55" spans="1:6">
      <c r="A55" s="6">
        <f>IF(Cleaned_Data!C54="North",1,0)</f>
        <v>0</v>
      </c>
      <c r="B55" s="5">
        <f>IF(Cleaned_Data!C54="South",1,0)</f>
        <v>0</v>
      </c>
      <c r="C55" s="15">
        <f>IF(Cleaned_Data!C54="East",1,0)</f>
        <v>0</v>
      </c>
      <c r="D55" s="6">
        <f>IF(Cleaned_Data!D54="Airport",1,0)</f>
        <v>0</v>
      </c>
      <c r="E55" s="5">
        <f>IF(Cleaned_Data!D54="High Street",1,0)</f>
        <v>1</v>
      </c>
      <c r="F55" s="7">
        <f>IF(Cleaned_Data!D54="Residential",1,0)</f>
        <v>0</v>
      </c>
    </row>
    <row r="56" spans="1:6">
      <c r="A56" s="6">
        <f>IF(Cleaned_Data!C55="North",1,0)</f>
        <v>0</v>
      </c>
      <c r="B56" s="5">
        <f>IF(Cleaned_Data!C55="South",1,0)</f>
        <v>0</v>
      </c>
      <c r="C56" s="15">
        <f>IF(Cleaned_Data!C55="East",1,0)</f>
        <v>0</v>
      </c>
      <c r="D56" s="6">
        <f>IF(Cleaned_Data!D55="Airport",1,0)</f>
        <v>0</v>
      </c>
      <c r="E56" s="5">
        <f>IF(Cleaned_Data!D55="High Street",1,0)</f>
        <v>1</v>
      </c>
      <c r="F56" s="7">
        <f>IF(Cleaned_Data!D55="Residential",1,0)</f>
        <v>0</v>
      </c>
    </row>
    <row r="57" spans="1:6">
      <c r="A57" s="6">
        <f>IF(Cleaned_Data!C56="North",1,0)</f>
        <v>0</v>
      </c>
      <c r="B57" s="5">
        <f>IF(Cleaned_Data!C56="South",1,0)</f>
        <v>0</v>
      </c>
      <c r="C57" s="15">
        <f>IF(Cleaned_Data!C56="East",1,0)</f>
        <v>0</v>
      </c>
      <c r="D57" s="6">
        <f>IF(Cleaned_Data!D56="Airport",1,0)</f>
        <v>0</v>
      </c>
      <c r="E57" s="5">
        <f>IF(Cleaned_Data!D56="High Street",1,0)</f>
        <v>1</v>
      </c>
      <c r="F57" s="7">
        <f>IF(Cleaned_Data!D56="Residential",1,0)</f>
        <v>0</v>
      </c>
    </row>
    <row r="58" spans="1:6">
      <c r="A58" s="6">
        <f>IF(Cleaned_Data!C57="North",1,0)</f>
        <v>0</v>
      </c>
      <c r="B58" s="5">
        <f>IF(Cleaned_Data!C57="South",1,0)</f>
        <v>0</v>
      </c>
      <c r="C58" s="15">
        <f>IF(Cleaned_Data!C57="East",1,0)</f>
        <v>0</v>
      </c>
      <c r="D58" s="6">
        <f>IF(Cleaned_Data!D57="Airport",1,0)</f>
        <v>0</v>
      </c>
      <c r="E58" s="5">
        <f>IF(Cleaned_Data!D57="High Street",1,0)</f>
        <v>1</v>
      </c>
      <c r="F58" s="7">
        <f>IF(Cleaned_Data!D57="Residential",1,0)</f>
        <v>0</v>
      </c>
    </row>
    <row r="59" spans="1:6">
      <c r="A59" s="6">
        <f>IF(Cleaned_Data!C58="North",1,0)</f>
        <v>0</v>
      </c>
      <c r="B59" s="5">
        <f>IF(Cleaned_Data!C58="South",1,0)</f>
        <v>0</v>
      </c>
      <c r="C59" s="15">
        <f>IF(Cleaned_Data!C58="East",1,0)</f>
        <v>1</v>
      </c>
      <c r="D59" s="6">
        <f>IF(Cleaned_Data!D58="Airport",1,0)</f>
        <v>1</v>
      </c>
      <c r="E59" s="5">
        <f>IF(Cleaned_Data!D58="High Street",1,0)</f>
        <v>0</v>
      </c>
      <c r="F59" s="7">
        <f>IF(Cleaned_Data!D58="Residential",1,0)</f>
        <v>0</v>
      </c>
    </row>
    <row r="60" spans="1:6">
      <c r="A60" s="6">
        <f>IF(Cleaned_Data!C59="North",1,0)</f>
        <v>0</v>
      </c>
      <c r="B60" s="5">
        <f>IF(Cleaned_Data!C59="South",1,0)</f>
        <v>0</v>
      </c>
      <c r="C60" s="15">
        <f>IF(Cleaned_Data!C59="East",1,0)</f>
        <v>1</v>
      </c>
      <c r="D60" s="6">
        <f>IF(Cleaned_Data!D59="Airport",1,0)</f>
        <v>1</v>
      </c>
      <c r="E60" s="5">
        <f>IF(Cleaned_Data!D59="High Street",1,0)</f>
        <v>0</v>
      </c>
      <c r="F60" s="7">
        <f>IF(Cleaned_Data!D59="Residential",1,0)</f>
        <v>0</v>
      </c>
    </row>
    <row r="61" spans="1:6">
      <c r="A61" s="6">
        <f>IF(Cleaned_Data!C60="North",1,0)</f>
        <v>0</v>
      </c>
      <c r="B61" s="5">
        <f>IF(Cleaned_Data!C60="South",1,0)</f>
        <v>0</v>
      </c>
      <c r="C61" s="15">
        <f>IF(Cleaned_Data!C60="East",1,0)</f>
        <v>1</v>
      </c>
      <c r="D61" s="6">
        <f>IF(Cleaned_Data!D60="Airport",1,0)</f>
        <v>1</v>
      </c>
      <c r="E61" s="5">
        <f>IF(Cleaned_Data!D60="High Street",1,0)</f>
        <v>0</v>
      </c>
      <c r="F61" s="7">
        <f>IF(Cleaned_Data!D60="Residential",1,0)</f>
        <v>0</v>
      </c>
    </row>
    <row r="62" spans="1:6">
      <c r="A62" s="6">
        <f>IF(Cleaned_Data!C61="North",1,0)</f>
        <v>0</v>
      </c>
      <c r="B62" s="5">
        <f>IF(Cleaned_Data!C61="South",1,0)</f>
        <v>0</v>
      </c>
      <c r="C62" s="15">
        <f>IF(Cleaned_Data!C61="East",1,0)</f>
        <v>1</v>
      </c>
      <c r="D62" s="6">
        <f>IF(Cleaned_Data!D61="Airport",1,0)</f>
        <v>1</v>
      </c>
      <c r="E62" s="5">
        <f>IF(Cleaned_Data!D61="High Street",1,0)</f>
        <v>0</v>
      </c>
      <c r="F62" s="7">
        <f>IF(Cleaned_Data!D61="Residential",1,0)</f>
        <v>0</v>
      </c>
    </row>
    <row r="63" spans="1:6">
      <c r="A63" s="6">
        <f>IF(Cleaned_Data!C62="North",1,0)</f>
        <v>0</v>
      </c>
      <c r="B63" s="5">
        <f>IF(Cleaned_Data!C62="South",1,0)</f>
        <v>1</v>
      </c>
      <c r="C63" s="15">
        <f>IF(Cleaned_Data!C62="East",1,0)</f>
        <v>0</v>
      </c>
      <c r="D63" s="6">
        <f>IF(Cleaned_Data!D62="Airport",1,0)</f>
        <v>0</v>
      </c>
      <c r="E63" s="5">
        <f>IF(Cleaned_Data!D62="High Street",1,0)</f>
        <v>1</v>
      </c>
      <c r="F63" s="7">
        <f>IF(Cleaned_Data!D62="Residential",1,0)</f>
        <v>0</v>
      </c>
    </row>
    <row r="64" spans="1:6">
      <c r="A64" s="6">
        <f>IF(Cleaned_Data!C63="North",1,0)</f>
        <v>0</v>
      </c>
      <c r="B64" s="5">
        <f>IF(Cleaned_Data!C63="South",1,0)</f>
        <v>1</v>
      </c>
      <c r="C64" s="15">
        <f>IF(Cleaned_Data!C63="East",1,0)</f>
        <v>0</v>
      </c>
      <c r="D64" s="6">
        <f>IF(Cleaned_Data!D63="Airport",1,0)</f>
        <v>0</v>
      </c>
      <c r="E64" s="5">
        <f>IF(Cleaned_Data!D63="High Street",1,0)</f>
        <v>1</v>
      </c>
      <c r="F64" s="7">
        <f>IF(Cleaned_Data!D63="Residential",1,0)</f>
        <v>0</v>
      </c>
    </row>
    <row r="65" spans="1:6">
      <c r="A65" s="6">
        <f>IF(Cleaned_Data!C64="North",1,0)</f>
        <v>0</v>
      </c>
      <c r="B65" s="5">
        <f>IF(Cleaned_Data!C64="South",1,0)</f>
        <v>1</v>
      </c>
      <c r="C65" s="15">
        <f>IF(Cleaned_Data!C64="East",1,0)</f>
        <v>0</v>
      </c>
      <c r="D65" s="6">
        <f>IF(Cleaned_Data!D64="Airport",1,0)</f>
        <v>0</v>
      </c>
      <c r="E65" s="5">
        <f>IF(Cleaned_Data!D64="High Street",1,0)</f>
        <v>1</v>
      </c>
      <c r="F65" s="7">
        <f>IF(Cleaned_Data!D64="Residential",1,0)</f>
        <v>0</v>
      </c>
    </row>
    <row r="66" spans="1:6">
      <c r="A66" s="6">
        <f>IF(Cleaned_Data!C65="North",1,0)</f>
        <v>0</v>
      </c>
      <c r="B66" s="5">
        <f>IF(Cleaned_Data!C65="South",1,0)</f>
        <v>1</v>
      </c>
      <c r="C66" s="15">
        <f>IF(Cleaned_Data!C65="East",1,0)</f>
        <v>0</v>
      </c>
      <c r="D66" s="6">
        <f>IF(Cleaned_Data!D65="Airport",1,0)</f>
        <v>0</v>
      </c>
      <c r="E66" s="5">
        <f>IF(Cleaned_Data!D65="High Street",1,0)</f>
        <v>1</v>
      </c>
      <c r="F66" s="7">
        <f>IF(Cleaned_Data!D65="Residential",1,0)</f>
        <v>0</v>
      </c>
    </row>
    <row r="67" spans="1:6">
      <c r="A67" s="6">
        <f>IF(Cleaned_Data!C66="North",1,0)</f>
        <v>0</v>
      </c>
      <c r="B67" s="5">
        <f>IF(Cleaned_Data!C66="South",1,0)</f>
        <v>0</v>
      </c>
      <c r="C67" s="15">
        <f>IF(Cleaned_Data!C66="East",1,0)</f>
        <v>0</v>
      </c>
      <c r="D67" s="6">
        <f>IF(Cleaned_Data!D66="Airport",1,0)</f>
        <v>0</v>
      </c>
      <c r="E67" s="5">
        <f>IF(Cleaned_Data!D66="High Street",1,0)</f>
        <v>1</v>
      </c>
      <c r="F67" s="7">
        <f>IF(Cleaned_Data!D66="Residential",1,0)</f>
        <v>0</v>
      </c>
    </row>
    <row r="68" spans="1:6">
      <c r="A68" s="6">
        <f>IF(Cleaned_Data!C67="North",1,0)</f>
        <v>0</v>
      </c>
      <c r="B68" s="5">
        <f>IF(Cleaned_Data!C67="South",1,0)</f>
        <v>0</v>
      </c>
      <c r="C68" s="15">
        <f>IF(Cleaned_Data!C67="East",1,0)</f>
        <v>0</v>
      </c>
      <c r="D68" s="6">
        <f>IF(Cleaned_Data!D67="Airport",1,0)</f>
        <v>0</v>
      </c>
      <c r="E68" s="5">
        <f>IF(Cleaned_Data!D67="High Street",1,0)</f>
        <v>1</v>
      </c>
      <c r="F68" s="7">
        <f>IF(Cleaned_Data!D67="Residential",1,0)</f>
        <v>0</v>
      </c>
    </row>
    <row r="69" spans="1:6">
      <c r="A69" s="6">
        <f>IF(Cleaned_Data!C68="North",1,0)</f>
        <v>0</v>
      </c>
      <c r="B69" s="5">
        <f>IF(Cleaned_Data!C68="South",1,0)</f>
        <v>0</v>
      </c>
      <c r="C69" s="15">
        <f>IF(Cleaned_Data!C68="East",1,0)</f>
        <v>0</v>
      </c>
      <c r="D69" s="6">
        <f>IF(Cleaned_Data!D68="Airport",1,0)</f>
        <v>0</v>
      </c>
      <c r="E69" s="5">
        <f>IF(Cleaned_Data!D68="High Street",1,0)</f>
        <v>1</v>
      </c>
      <c r="F69" s="7">
        <f>IF(Cleaned_Data!D68="Residential",1,0)</f>
        <v>0</v>
      </c>
    </row>
    <row r="70" spans="1:6">
      <c r="A70" s="6">
        <f>IF(Cleaned_Data!C69="North",1,0)</f>
        <v>0</v>
      </c>
      <c r="B70" s="5">
        <f>IF(Cleaned_Data!C69="South",1,0)</f>
        <v>0</v>
      </c>
      <c r="C70" s="15">
        <f>IF(Cleaned_Data!C69="East",1,0)</f>
        <v>0</v>
      </c>
      <c r="D70" s="6">
        <f>IF(Cleaned_Data!D69="Airport",1,0)</f>
        <v>0</v>
      </c>
      <c r="E70" s="5">
        <f>IF(Cleaned_Data!D69="High Street",1,0)</f>
        <v>1</v>
      </c>
      <c r="F70" s="7">
        <f>IF(Cleaned_Data!D69="Residential",1,0)</f>
        <v>0</v>
      </c>
    </row>
    <row r="71" spans="1:6">
      <c r="A71" s="6">
        <f>IF(Cleaned_Data!C70="North",1,0)</f>
        <v>0</v>
      </c>
      <c r="B71" s="5">
        <f>IF(Cleaned_Data!C70="South",1,0)</f>
        <v>0</v>
      </c>
      <c r="C71" s="15">
        <f>IF(Cleaned_Data!C70="East",1,0)</f>
        <v>1</v>
      </c>
      <c r="D71" s="6">
        <f>IF(Cleaned_Data!D70="Airport",1,0)</f>
        <v>0</v>
      </c>
      <c r="E71" s="5">
        <f>IF(Cleaned_Data!D70="High Street",1,0)</f>
        <v>1</v>
      </c>
      <c r="F71" s="7">
        <f>IF(Cleaned_Data!D70="Residential",1,0)</f>
        <v>0</v>
      </c>
    </row>
    <row r="72" spans="1:6">
      <c r="A72" s="6">
        <f>IF(Cleaned_Data!C71="North",1,0)</f>
        <v>0</v>
      </c>
      <c r="B72" s="5">
        <f>IF(Cleaned_Data!C71="South",1,0)</f>
        <v>0</v>
      </c>
      <c r="C72" s="15">
        <f>IF(Cleaned_Data!C71="East",1,0)</f>
        <v>1</v>
      </c>
      <c r="D72" s="6">
        <f>IF(Cleaned_Data!D71="Airport",1,0)</f>
        <v>0</v>
      </c>
      <c r="E72" s="5">
        <f>IF(Cleaned_Data!D71="High Street",1,0)</f>
        <v>1</v>
      </c>
      <c r="F72" s="7">
        <f>IF(Cleaned_Data!D71="Residential",1,0)</f>
        <v>0</v>
      </c>
    </row>
    <row r="73" spans="1:6">
      <c r="A73" s="6">
        <f>IF(Cleaned_Data!C72="North",1,0)</f>
        <v>0</v>
      </c>
      <c r="B73" s="5">
        <f>IF(Cleaned_Data!C72="South",1,0)</f>
        <v>0</v>
      </c>
      <c r="C73" s="15">
        <f>IF(Cleaned_Data!C72="East",1,0)</f>
        <v>1</v>
      </c>
      <c r="D73" s="6">
        <f>IF(Cleaned_Data!D72="Airport",1,0)</f>
        <v>0</v>
      </c>
      <c r="E73" s="5">
        <f>IF(Cleaned_Data!D72="High Street",1,0)</f>
        <v>1</v>
      </c>
      <c r="F73" s="7">
        <f>IF(Cleaned_Data!D72="Residential",1,0)</f>
        <v>0</v>
      </c>
    </row>
    <row r="74" spans="1:6">
      <c r="A74" s="6">
        <f>IF(Cleaned_Data!C73="North",1,0)</f>
        <v>0</v>
      </c>
      <c r="B74" s="5">
        <f>IF(Cleaned_Data!C73="South",1,0)</f>
        <v>0</v>
      </c>
      <c r="C74" s="15">
        <f>IF(Cleaned_Data!C73="East",1,0)</f>
        <v>1</v>
      </c>
      <c r="D74" s="6">
        <f>IF(Cleaned_Data!D73="Airport",1,0)</f>
        <v>0</v>
      </c>
      <c r="E74" s="5">
        <f>IF(Cleaned_Data!D73="High Street",1,0)</f>
        <v>1</v>
      </c>
      <c r="F74" s="7">
        <f>IF(Cleaned_Data!D73="Residential",1,0)</f>
        <v>0</v>
      </c>
    </row>
    <row r="75" spans="1:6">
      <c r="A75" s="6">
        <f>IF(Cleaned_Data!C74="North",1,0)</f>
        <v>0</v>
      </c>
      <c r="B75" s="5">
        <f>IF(Cleaned_Data!C74="South",1,0)</f>
        <v>0</v>
      </c>
      <c r="C75" s="15">
        <f>IF(Cleaned_Data!C74="East",1,0)</f>
        <v>1</v>
      </c>
      <c r="D75" s="6">
        <f>IF(Cleaned_Data!D74="Airport",1,0)</f>
        <v>0</v>
      </c>
      <c r="E75" s="5">
        <f>IF(Cleaned_Data!D74="High Street",1,0)</f>
        <v>0</v>
      </c>
      <c r="F75" s="7">
        <f>IF(Cleaned_Data!D74="Residential",1,0)</f>
        <v>1</v>
      </c>
    </row>
    <row r="76" spans="1:6">
      <c r="A76" s="6">
        <f>IF(Cleaned_Data!C75="North",1,0)</f>
        <v>0</v>
      </c>
      <c r="B76" s="5">
        <f>IF(Cleaned_Data!C75="South",1,0)</f>
        <v>0</v>
      </c>
      <c r="C76" s="15">
        <f>IF(Cleaned_Data!C75="East",1,0)</f>
        <v>1</v>
      </c>
      <c r="D76" s="6">
        <f>IF(Cleaned_Data!D75="Airport",1,0)</f>
        <v>0</v>
      </c>
      <c r="E76" s="5">
        <f>IF(Cleaned_Data!D75="High Street",1,0)</f>
        <v>0</v>
      </c>
      <c r="F76" s="7">
        <f>IF(Cleaned_Data!D75="Residential",1,0)</f>
        <v>1</v>
      </c>
    </row>
    <row r="77" spans="1:6">
      <c r="A77" s="6">
        <f>IF(Cleaned_Data!C76="North",1,0)</f>
        <v>0</v>
      </c>
      <c r="B77" s="5">
        <f>IF(Cleaned_Data!C76="South",1,0)</f>
        <v>0</v>
      </c>
      <c r="C77" s="15">
        <f>IF(Cleaned_Data!C76="East",1,0)</f>
        <v>1</v>
      </c>
      <c r="D77" s="6">
        <f>IF(Cleaned_Data!D76="Airport",1,0)</f>
        <v>0</v>
      </c>
      <c r="E77" s="5">
        <f>IF(Cleaned_Data!D76="High Street",1,0)</f>
        <v>0</v>
      </c>
      <c r="F77" s="7">
        <f>IF(Cleaned_Data!D76="Residential",1,0)</f>
        <v>1</v>
      </c>
    </row>
    <row r="78" spans="1:6">
      <c r="A78" s="6">
        <f>IF(Cleaned_Data!C77="North",1,0)</f>
        <v>0</v>
      </c>
      <c r="B78" s="5">
        <f>IF(Cleaned_Data!C77="South",1,0)</f>
        <v>0</v>
      </c>
      <c r="C78" s="15">
        <f>IF(Cleaned_Data!C77="East",1,0)</f>
        <v>1</v>
      </c>
      <c r="D78" s="6">
        <f>IF(Cleaned_Data!D77="Airport",1,0)</f>
        <v>0</v>
      </c>
      <c r="E78" s="5">
        <f>IF(Cleaned_Data!D77="High Street",1,0)</f>
        <v>0</v>
      </c>
      <c r="F78" s="7">
        <f>IF(Cleaned_Data!D77="Residential",1,0)</f>
        <v>1</v>
      </c>
    </row>
    <row r="79" spans="1:6">
      <c r="A79" s="6">
        <f>IF(Cleaned_Data!C78="North",1,0)</f>
        <v>0</v>
      </c>
      <c r="B79" s="5">
        <f>IF(Cleaned_Data!C78="South",1,0)</f>
        <v>1</v>
      </c>
      <c r="C79" s="15">
        <f>IF(Cleaned_Data!C78="East",1,0)</f>
        <v>0</v>
      </c>
      <c r="D79" s="6">
        <f>IF(Cleaned_Data!D78="Airport",1,0)</f>
        <v>0</v>
      </c>
      <c r="E79" s="5">
        <f>IF(Cleaned_Data!D78="High Street",1,0)</f>
        <v>1</v>
      </c>
      <c r="F79" s="7">
        <f>IF(Cleaned_Data!D78="Residential",1,0)</f>
        <v>0</v>
      </c>
    </row>
    <row r="80" spans="1:6">
      <c r="A80" s="6">
        <f>IF(Cleaned_Data!C79="North",1,0)</f>
        <v>0</v>
      </c>
      <c r="B80" s="5">
        <f>IF(Cleaned_Data!C79="South",1,0)</f>
        <v>1</v>
      </c>
      <c r="C80" s="15">
        <f>IF(Cleaned_Data!C79="East",1,0)</f>
        <v>0</v>
      </c>
      <c r="D80" s="6">
        <f>IF(Cleaned_Data!D79="Airport",1,0)</f>
        <v>0</v>
      </c>
      <c r="E80" s="5">
        <f>IF(Cleaned_Data!D79="High Street",1,0)</f>
        <v>1</v>
      </c>
      <c r="F80" s="7">
        <f>IF(Cleaned_Data!D79="Residential",1,0)</f>
        <v>0</v>
      </c>
    </row>
    <row r="81" spans="1:6">
      <c r="A81" s="6">
        <f>IF(Cleaned_Data!C80="North",1,0)</f>
        <v>0</v>
      </c>
      <c r="B81" s="5">
        <f>IF(Cleaned_Data!C80="South",1,0)</f>
        <v>1</v>
      </c>
      <c r="C81" s="15">
        <f>IF(Cleaned_Data!C80="East",1,0)</f>
        <v>0</v>
      </c>
      <c r="D81" s="6">
        <f>IF(Cleaned_Data!D80="Airport",1,0)</f>
        <v>0</v>
      </c>
      <c r="E81" s="5">
        <f>IF(Cleaned_Data!D80="High Street",1,0)</f>
        <v>1</v>
      </c>
      <c r="F81" s="7">
        <f>IF(Cleaned_Data!D80="Residential",1,0)</f>
        <v>0</v>
      </c>
    </row>
    <row r="82" spans="1:6">
      <c r="A82" s="6">
        <f>IF(Cleaned_Data!C81="North",1,0)</f>
        <v>0</v>
      </c>
      <c r="B82" s="5">
        <f>IF(Cleaned_Data!C81="South",1,0)</f>
        <v>1</v>
      </c>
      <c r="C82" s="15">
        <f>IF(Cleaned_Data!C81="East",1,0)</f>
        <v>0</v>
      </c>
      <c r="D82" s="6">
        <f>IF(Cleaned_Data!D81="Airport",1,0)</f>
        <v>0</v>
      </c>
      <c r="E82" s="5">
        <f>IF(Cleaned_Data!D81="High Street",1,0)</f>
        <v>1</v>
      </c>
      <c r="F82" s="7">
        <f>IF(Cleaned_Data!D81="Residential",1,0)</f>
        <v>0</v>
      </c>
    </row>
    <row r="83" spans="1:6">
      <c r="A83" s="6">
        <f>IF(Cleaned_Data!C82="North",1,0)</f>
        <v>0</v>
      </c>
      <c r="B83" s="5">
        <f>IF(Cleaned_Data!C82="South",1,0)</f>
        <v>0</v>
      </c>
      <c r="C83" s="15">
        <f>IF(Cleaned_Data!C82="East",1,0)</f>
        <v>0</v>
      </c>
      <c r="D83" s="6">
        <f>IF(Cleaned_Data!D82="Airport",1,0)</f>
        <v>0</v>
      </c>
      <c r="E83" s="5">
        <f>IF(Cleaned_Data!D82="High Street",1,0)</f>
        <v>0</v>
      </c>
      <c r="F83" s="7">
        <f>IF(Cleaned_Data!D82="Residential",1,0)</f>
        <v>0</v>
      </c>
    </row>
    <row r="84" spans="1:6">
      <c r="A84" s="6">
        <f>IF(Cleaned_Data!C83="North",1,0)</f>
        <v>0</v>
      </c>
      <c r="B84" s="5">
        <f>IF(Cleaned_Data!C83="South",1,0)</f>
        <v>0</v>
      </c>
      <c r="C84" s="15">
        <f>IF(Cleaned_Data!C83="East",1,0)</f>
        <v>0</v>
      </c>
      <c r="D84" s="6">
        <f>IF(Cleaned_Data!D83="Airport",1,0)</f>
        <v>0</v>
      </c>
      <c r="E84" s="5">
        <f>IF(Cleaned_Data!D83="High Street",1,0)</f>
        <v>0</v>
      </c>
      <c r="F84" s="7">
        <f>IF(Cleaned_Data!D83="Residential",1,0)</f>
        <v>0</v>
      </c>
    </row>
    <row r="85" spans="1:6">
      <c r="A85" s="6">
        <f>IF(Cleaned_Data!C84="North",1,0)</f>
        <v>0</v>
      </c>
      <c r="B85" s="5">
        <f>IF(Cleaned_Data!C84="South",1,0)</f>
        <v>0</v>
      </c>
      <c r="C85" s="15">
        <f>IF(Cleaned_Data!C84="East",1,0)</f>
        <v>0</v>
      </c>
      <c r="D85" s="6">
        <f>IF(Cleaned_Data!D84="Airport",1,0)</f>
        <v>0</v>
      </c>
      <c r="E85" s="5">
        <f>IF(Cleaned_Data!D84="High Street",1,0)</f>
        <v>0</v>
      </c>
      <c r="F85" s="7">
        <f>IF(Cleaned_Data!D84="Residential",1,0)</f>
        <v>0</v>
      </c>
    </row>
    <row r="86" spans="1:6">
      <c r="A86" s="6">
        <f>IF(Cleaned_Data!C85="North",1,0)</f>
        <v>0</v>
      </c>
      <c r="B86" s="5">
        <f>IF(Cleaned_Data!C85="South",1,0)</f>
        <v>0</v>
      </c>
      <c r="C86" s="15">
        <f>IF(Cleaned_Data!C85="East",1,0)</f>
        <v>0</v>
      </c>
      <c r="D86" s="6">
        <f>IF(Cleaned_Data!D85="Airport",1,0)</f>
        <v>0</v>
      </c>
      <c r="E86" s="5">
        <f>IF(Cleaned_Data!D85="High Street",1,0)</f>
        <v>0</v>
      </c>
      <c r="F86" s="7">
        <f>IF(Cleaned_Data!D85="Residential",1,0)</f>
        <v>0</v>
      </c>
    </row>
    <row r="87" spans="1:6">
      <c r="A87" s="6">
        <f>IF(Cleaned_Data!C86="North",1,0)</f>
        <v>0</v>
      </c>
      <c r="B87" s="5">
        <f>IF(Cleaned_Data!C86="South",1,0)</f>
        <v>0</v>
      </c>
      <c r="C87" s="15">
        <f>IF(Cleaned_Data!C86="East",1,0)</f>
        <v>0</v>
      </c>
      <c r="D87" s="6">
        <f>IF(Cleaned_Data!D86="Airport",1,0)</f>
        <v>0</v>
      </c>
      <c r="E87" s="5">
        <f>IF(Cleaned_Data!D86="High Street",1,0)</f>
        <v>1</v>
      </c>
      <c r="F87" s="7">
        <f>IF(Cleaned_Data!D86="Residential",1,0)</f>
        <v>0</v>
      </c>
    </row>
    <row r="88" spans="1:6">
      <c r="A88" s="6">
        <f>IF(Cleaned_Data!C87="North",1,0)</f>
        <v>0</v>
      </c>
      <c r="B88" s="5">
        <f>IF(Cleaned_Data!C87="South",1,0)</f>
        <v>0</v>
      </c>
      <c r="C88" s="15">
        <f>IF(Cleaned_Data!C87="East",1,0)</f>
        <v>0</v>
      </c>
      <c r="D88" s="6">
        <f>IF(Cleaned_Data!D87="Airport",1,0)</f>
        <v>0</v>
      </c>
      <c r="E88" s="5">
        <f>IF(Cleaned_Data!D87="High Street",1,0)</f>
        <v>1</v>
      </c>
      <c r="F88" s="7">
        <f>IF(Cleaned_Data!D87="Residential",1,0)</f>
        <v>0</v>
      </c>
    </row>
    <row r="89" spans="1:6">
      <c r="A89" s="6">
        <f>IF(Cleaned_Data!C88="North",1,0)</f>
        <v>0</v>
      </c>
      <c r="B89" s="5">
        <f>IF(Cleaned_Data!C88="South",1,0)</f>
        <v>0</v>
      </c>
      <c r="C89" s="15">
        <f>IF(Cleaned_Data!C88="East",1,0)</f>
        <v>0</v>
      </c>
      <c r="D89" s="6">
        <f>IF(Cleaned_Data!D88="Airport",1,0)</f>
        <v>0</v>
      </c>
      <c r="E89" s="5">
        <f>IF(Cleaned_Data!D88="High Street",1,0)</f>
        <v>1</v>
      </c>
      <c r="F89" s="7">
        <f>IF(Cleaned_Data!D88="Residential",1,0)</f>
        <v>0</v>
      </c>
    </row>
    <row r="90" spans="1:6">
      <c r="A90" s="6">
        <f>IF(Cleaned_Data!C89="North",1,0)</f>
        <v>0</v>
      </c>
      <c r="B90" s="5">
        <f>IF(Cleaned_Data!C89="South",1,0)</f>
        <v>0</v>
      </c>
      <c r="C90" s="15">
        <f>IF(Cleaned_Data!C89="East",1,0)</f>
        <v>0</v>
      </c>
      <c r="D90" s="6">
        <f>IF(Cleaned_Data!D89="Airport",1,0)</f>
        <v>0</v>
      </c>
      <c r="E90" s="5">
        <f>IF(Cleaned_Data!D89="High Street",1,0)</f>
        <v>1</v>
      </c>
      <c r="F90" s="7">
        <f>IF(Cleaned_Data!D89="Residential",1,0)</f>
        <v>0</v>
      </c>
    </row>
    <row r="91" spans="1:6">
      <c r="A91" s="6">
        <f>IF(Cleaned_Data!C90="North",1,0)</f>
        <v>0</v>
      </c>
      <c r="B91" s="5">
        <f>IF(Cleaned_Data!C90="South",1,0)</f>
        <v>1</v>
      </c>
      <c r="C91" s="15">
        <f>IF(Cleaned_Data!C90="East",1,0)</f>
        <v>0</v>
      </c>
      <c r="D91" s="6">
        <f>IF(Cleaned_Data!D90="Airport",1,0)</f>
        <v>0</v>
      </c>
      <c r="E91" s="5">
        <f>IF(Cleaned_Data!D90="High Street",1,0)</f>
        <v>0</v>
      </c>
      <c r="F91" s="7">
        <f>IF(Cleaned_Data!D90="Residential",1,0)</f>
        <v>0</v>
      </c>
    </row>
    <row r="92" spans="1:6">
      <c r="A92" s="6">
        <f>IF(Cleaned_Data!C91="North",1,0)</f>
        <v>0</v>
      </c>
      <c r="B92" s="5">
        <f>IF(Cleaned_Data!C91="South",1,0)</f>
        <v>1</v>
      </c>
      <c r="C92" s="15">
        <f>IF(Cleaned_Data!C91="East",1,0)</f>
        <v>0</v>
      </c>
      <c r="D92" s="6">
        <f>IF(Cleaned_Data!D91="Airport",1,0)</f>
        <v>0</v>
      </c>
      <c r="E92" s="5">
        <f>IF(Cleaned_Data!D91="High Street",1,0)</f>
        <v>0</v>
      </c>
      <c r="F92" s="7">
        <f>IF(Cleaned_Data!D91="Residential",1,0)</f>
        <v>0</v>
      </c>
    </row>
    <row r="93" spans="1:6">
      <c r="A93" s="6">
        <f>IF(Cleaned_Data!C92="North",1,0)</f>
        <v>0</v>
      </c>
      <c r="B93" s="5">
        <f>IF(Cleaned_Data!C92="South",1,0)</f>
        <v>1</v>
      </c>
      <c r="C93" s="15">
        <f>IF(Cleaned_Data!C92="East",1,0)</f>
        <v>0</v>
      </c>
      <c r="D93" s="6">
        <f>IF(Cleaned_Data!D92="Airport",1,0)</f>
        <v>0</v>
      </c>
      <c r="E93" s="5">
        <f>IF(Cleaned_Data!D92="High Street",1,0)</f>
        <v>0</v>
      </c>
      <c r="F93" s="7">
        <f>IF(Cleaned_Data!D92="Residential",1,0)</f>
        <v>0</v>
      </c>
    </row>
    <row r="94" spans="1:6">
      <c r="A94" s="6">
        <f>IF(Cleaned_Data!C93="North",1,0)</f>
        <v>0</v>
      </c>
      <c r="B94" s="5">
        <f>IF(Cleaned_Data!C93="South",1,0)</f>
        <v>1</v>
      </c>
      <c r="C94" s="15">
        <f>IF(Cleaned_Data!C93="East",1,0)</f>
        <v>0</v>
      </c>
      <c r="D94" s="6">
        <f>IF(Cleaned_Data!D93="Airport",1,0)</f>
        <v>0</v>
      </c>
      <c r="E94" s="5">
        <f>IF(Cleaned_Data!D93="High Street",1,0)</f>
        <v>0</v>
      </c>
      <c r="F94" s="7">
        <f>IF(Cleaned_Data!D93="Residential",1,0)</f>
        <v>0</v>
      </c>
    </row>
    <row r="95" spans="1:6">
      <c r="A95" s="6">
        <f>IF(Cleaned_Data!C94="North",1,0)</f>
        <v>0</v>
      </c>
      <c r="B95" s="5">
        <f>IF(Cleaned_Data!C94="South",1,0)</f>
        <v>0</v>
      </c>
      <c r="C95" s="15">
        <f>IF(Cleaned_Data!C94="East",1,0)</f>
        <v>0</v>
      </c>
      <c r="D95" s="6">
        <f>IF(Cleaned_Data!D94="Airport",1,0)</f>
        <v>0</v>
      </c>
      <c r="E95" s="5">
        <f>IF(Cleaned_Data!D94="High Street",1,0)</f>
        <v>0</v>
      </c>
      <c r="F95" s="7">
        <f>IF(Cleaned_Data!D94="Residential",1,0)</f>
        <v>1</v>
      </c>
    </row>
    <row r="96" spans="1:6">
      <c r="A96" s="6">
        <f>IF(Cleaned_Data!C95="North",1,0)</f>
        <v>0</v>
      </c>
      <c r="B96" s="5">
        <f>IF(Cleaned_Data!C95="South",1,0)</f>
        <v>0</v>
      </c>
      <c r="C96" s="15">
        <f>IF(Cleaned_Data!C95="East",1,0)</f>
        <v>0</v>
      </c>
      <c r="D96" s="6">
        <f>IF(Cleaned_Data!D95="Airport",1,0)</f>
        <v>0</v>
      </c>
      <c r="E96" s="5">
        <f>IF(Cleaned_Data!D95="High Street",1,0)</f>
        <v>0</v>
      </c>
      <c r="F96" s="7">
        <f>IF(Cleaned_Data!D95="Residential",1,0)</f>
        <v>1</v>
      </c>
    </row>
    <row r="97" spans="1:6">
      <c r="A97" s="6">
        <f>IF(Cleaned_Data!C96="North",1,0)</f>
        <v>0</v>
      </c>
      <c r="B97" s="5">
        <f>IF(Cleaned_Data!C96="South",1,0)</f>
        <v>0</v>
      </c>
      <c r="C97" s="15">
        <f>IF(Cleaned_Data!C96="East",1,0)</f>
        <v>0</v>
      </c>
      <c r="D97" s="6">
        <f>IF(Cleaned_Data!D96="Airport",1,0)</f>
        <v>0</v>
      </c>
      <c r="E97" s="5">
        <f>IF(Cleaned_Data!D96="High Street",1,0)</f>
        <v>0</v>
      </c>
      <c r="F97" s="7">
        <f>IF(Cleaned_Data!D96="Residential",1,0)</f>
        <v>1</v>
      </c>
    </row>
    <row r="98" spans="1:6">
      <c r="A98" s="6">
        <f>IF(Cleaned_Data!C97="North",1,0)</f>
        <v>0</v>
      </c>
      <c r="B98" s="5">
        <f>IF(Cleaned_Data!C97="South",1,0)</f>
        <v>0</v>
      </c>
      <c r="C98" s="15">
        <f>IF(Cleaned_Data!C97="East",1,0)</f>
        <v>0</v>
      </c>
      <c r="D98" s="6">
        <f>IF(Cleaned_Data!D97="Airport",1,0)</f>
        <v>0</v>
      </c>
      <c r="E98" s="5">
        <f>IF(Cleaned_Data!D97="High Street",1,0)</f>
        <v>0</v>
      </c>
      <c r="F98" s="7">
        <f>IF(Cleaned_Data!D97="Residential",1,0)</f>
        <v>1</v>
      </c>
    </row>
    <row r="99" spans="1:6">
      <c r="A99" s="6">
        <f>IF(Cleaned_Data!C98="North",1,0)</f>
        <v>0</v>
      </c>
      <c r="B99" s="5">
        <f>IF(Cleaned_Data!C98="South",1,0)</f>
        <v>0</v>
      </c>
      <c r="C99" s="15">
        <f>IF(Cleaned_Data!C98="East",1,0)</f>
        <v>0</v>
      </c>
      <c r="D99" s="6">
        <f>IF(Cleaned_Data!D98="Airport",1,0)</f>
        <v>0</v>
      </c>
      <c r="E99" s="5">
        <f>IF(Cleaned_Data!D98="High Street",1,0)</f>
        <v>0</v>
      </c>
      <c r="F99" s="7">
        <f>IF(Cleaned_Data!D98="Residential",1,0)</f>
        <v>0</v>
      </c>
    </row>
    <row r="100" spans="1:6">
      <c r="A100" s="6">
        <f>IF(Cleaned_Data!C99="North",1,0)</f>
        <v>0</v>
      </c>
      <c r="B100" s="5">
        <f>IF(Cleaned_Data!C99="South",1,0)</f>
        <v>0</v>
      </c>
      <c r="C100" s="15">
        <f>IF(Cleaned_Data!C99="East",1,0)</f>
        <v>0</v>
      </c>
      <c r="D100" s="6">
        <f>IF(Cleaned_Data!D99="Airport",1,0)</f>
        <v>0</v>
      </c>
      <c r="E100" s="5">
        <f>IF(Cleaned_Data!D99="High Street",1,0)</f>
        <v>0</v>
      </c>
      <c r="F100" s="7">
        <f>IF(Cleaned_Data!D99="Residential",1,0)</f>
        <v>0</v>
      </c>
    </row>
    <row r="101" spans="1:6">
      <c r="A101" s="6">
        <f>IF(Cleaned_Data!C100="North",1,0)</f>
        <v>0</v>
      </c>
      <c r="B101" s="5">
        <f>IF(Cleaned_Data!C100="South",1,0)</f>
        <v>0</v>
      </c>
      <c r="C101" s="15">
        <f>IF(Cleaned_Data!C100="East",1,0)</f>
        <v>0</v>
      </c>
      <c r="D101" s="6">
        <f>IF(Cleaned_Data!D100="Airport",1,0)</f>
        <v>0</v>
      </c>
      <c r="E101" s="5">
        <f>IF(Cleaned_Data!D100="High Street",1,0)</f>
        <v>0</v>
      </c>
      <c r="F101" s="7">
        <f>IF(Cleaned_Data!D100="Residential",1,0)</f>
        <v>0</v>
      </c>
    </row>
    <row r="102" spans="1:6">
      <c r="A102" s="6">
        <f>IF(Cleaned_Data!C101="North",1,0)</f>
        <v>0</v>
      </c>
      <c r="B102" s="5">
        <f>IF(Cleaned_Data!C101="South",1,0)</f>
        <v>0</v>
      </c>
      <c r="C102" s="15">
        <f>IF(Cleaned_Data!C101="East",1,0)</f>
        <v>0</v>
      </c>
      <c r="D102" s="6">
        <f>IF(Cleaned_Data!D101="Airport",1,0)</f>
        <v>0</v>
      </c>
      <c r="E102" s="5">
        <f>IF(Cleaned_Data!D101="High Street",1,0)</f>
        <v>0</v>
      </c>
      <c r="F102" s="7">
        <f>IF(Cleaned_Data!D101="Residential",1,0)</f>
        <v>0</v>
      </c>
    </row>
    <row r="103" spans="1:6">
      <c r="A103" s="6">
        <f>IF(Cleaned_Data!C102="North",1,0)</f>
        <v>0</v>
      </c>
      <c r="B103" s="5">
        <f>IF(Cleaned_Data!C102="South",1,0)</f>
        <v>0</v>
      </c>
      <c r="C103" s="15">
        <f>IF(Cleaned_Data!C102="East",1,0)</f>
        <v>1</v>
      </c>
      <c r="D103" s="6">
        <f>IF(Cleaned_Data!D102="Airport",1,0)</f>
        <v>0</v>
      </c>
      <c r="E103" s="5">
        <f>IF(Cleaned_Data!D102="High Street",1,0)</f>
        <v>0</v>
      </c>
      <c r="F103" s="7">
        <f>IF(Cleaned_Data!D102="Residential",1,0)</f>
        <v>0</v>
      </c>
    </row>
    <row r="104" spans="1:6">
      <c r="A104" s="6">
        <f>IF(Cleaned_Data!C103="North",1,0)</f>
        <v>0</v>
      </c>
      <c r="B104" s="5">
        <f>IF(Cleaned_Data!C103="South",1,0)</f>
        <v>0</v>
      </c>
      <c r="C104" s="15">
        <f>IF(Cleaned_Data!C103="East",1,0)</f>
        <v>1</v>
      </c>
      <c r="D104" s="6">
        <f>IF(Cleaned_Data!D103="Airport",1,0)</f>
        <v>0</v>
      </c>
      <c r="E104" s="5">
        <f>IF(Cleaned_Data!D103="High Street",1,0)</f>
        <v>0</v>
      </c>
      <c r="F104" s="7">
        <f>IF(Cleaned_Data!D103="Residential",1,0)</f>
        <v>0</v>
      </c>
    </row>
    <row r="105" spans="1:6">
      <c r="A105" s="6">
        <f>IF(Cleaned_Data!C104="North",1,0)</f>
        <v>0</v>
      </c>
      <c r="B105" s="5">
        <f>IF(Cleaned_Data!C104="South",1,0)</f>
        <v>0</v>
      </c>
      <c r="C105" s="15">
        <f>IF(Cleaned_Data!C104="East",1,0)</f>
        <v>1</v>
      </c>
      <c r="D105" s="6">
        <f>IF(Cleaned_Data!D104="Airport",1,0)</f>
        <v>0</v>
      </c>
      <c r="E105" s="5">
        <f>IF(Cleaned_Data!D104="High Street",1,0)</f>
        <v>0</v>
      </c>
      <c r="F105" s="7">
        <f>IF(Cleaned_Data!D104="Residential",1,0)</f>
        <v>0</v>
      </c>
    </row>
    <row r="106" spans="1:6">
      <c r="A106" s="6">
        <f>IF(Cleaned_Data!C105="North",1,0)</f>
        <v>0</v>
      </c>
      <c r="B106" s="5">
        <f>IF(Cleaned_Data!C105="South",1,0)</f>
        <v>0</v>
      </c>
      <c r="C106" s="15">
        <f>IF(Cleaned_Data!C105="East",1,0)</f>
        <v>1</v>
      </c>
      <c r="D106" s="6">
        <f>IF(Cleaned_Data!D105="Airport",1,0)</f>
        <v>0</v>
      </c>
      <c r="E106" s="5">
        <f>IF(Cleaned_Data!D105="High Street",1,0)</f>
        <v>0</v>
      </c>
      <c r="F106" s="7">
        <f>IF(Cleaned_Data!D105="Residential",1,0)</f>
        <v>0</v>
      </c>
    </row>
    <row r="107" spans="1:6">
      <c r="A107" s="6">
        <f>IF(Cleaned_Data!C106="North",1,0)</f>
        <v>0</v>
      </c>
      <c r="B107" s="5">
        <f>IF(Cleaned_Data!C106="South",1,0)</f>
        <v>0</v>
      </c>
      <c r="C107" s="15">
        <f>IF(Cleaned_Data!C106="East",1,0)</f>
        <v>0</v>
      </c>
      <c r="D107" s="6">
        <f>IF(Cleaned_Data!D106="Airport",1,0)</f>
        <v>0</v>
      </c>
      <c r="E107" s="5">
        <f>IF(Cleaned_Data!D106="High Street",1,0)</f>
        <v>1</v>
      </c>
      <c r="F107" s="7">
        <f>IF(Cleaned_Data!D106="Residential",1,0)</f>
        <v>0</v>
      </c>
    </row>
    <row r="108" spans="1:6">
      <c r="A108" s="6">
        <f>IF(Cleaned_Data!C107="North",1,0)</f>
        <v>0</v>
      </c>
      <c r="B108" s="5">
        <f>IF(Cleaned_Data!C107="South",1,0)</f>
        <v>0</v>
      </c>
      <c r="C108" s="15">
        <f>IF(Cleaned_Data!C107="East",1,0)</f>
        <v>0</v>
      </c>
      <c r="D108" s="6">
        <f>IF(Cleaned_Data!D107="Airport",1,0)</f>
        <v>0</v>
      </c>
      <c r="E108" s="5">
        <f>IF(Cleaned_Data!D107="High Street",1,0)</f>
        <v>1</v>
      </c>
      <c r="F108" s="7">
        <f>IF(Cleaned_Data!D107="Residential",1,0)</f>
        <v>0</v>
      </c>
    </row>
    <row r="109" spans="1:6">
      <c r="A109" s="6">
        <f>IF(Cleaned_Data!C108="North",1,0)</f>
        <v>0</v>
      </c>
      <c r="B109" s="5">
        <f>IF(Cleaned_Data!C108="South",1,0)</f>
        <v>0</v>
      </c>
      <c r="C109" s="15">
        <f>IF(Cleaned_Data!C108="East",1,0)</f>
        <v>0</v>
      </c>
      <c r="D109" s="6">
        <f>IF(Cleaned_Data!D108="Airport",1,0)</f>
        <v>0</v>
      </c>
      <c r="E109" s="5">
        <f>IF(Cleaned_Data!D108="High Street",1,0)</f>
        <v>1</v>
      </c>
      <c r="F109" s="7">
        <f>IF(Cleaned_Data!D108="Residential",1,0)</f>
        <v>0</v>
      </c>
    </row>
    <row r="110" spans="1:6">
      <c r="A110" s="6">
        <f>IF(Cleaned_Data!C109="North",1,0)</f>
        <v>0</v>
      </c>
      <c r="B110" s="5">
        <f>IF(Cleaned_Data!C109="South",1,0)</f>
        <v>0</v>
      </c>
      <c r="C110" s="15">
        <f>IF(Cleaned_Data!C109="East",1,0)</f>
        <v>0</v>
      </c>
      <c r="D110" s="6">
        <f>IF(Cleaned_Data!D109="Airport",1,0)</f>
        <v>0</v>
      </c>
      <c r="E110" s="5">
        <f>IF(Cleaned_Data!D109="High Street",1,0)</f>
        <v>1</v>
      </c>
      <c r="F110" s="7">
        <f>IF(Cleaned_Data!D109="Residential",1,0)</f>
        <v>0</v>
      </c>
    </row>
    <row r="111" spans="1:6">
      <c r="A111" s="6">
        <f>IF(Cleaned_Data!C110="North",1,0)</f>
        <v>0</v>
      </c>
      <c r="B111" s="5">
        <f>IF(Cleaned_Data!C110="South",1,0)</f>
        <v>0</v>
      </c>
      <c r="C111" s="15">
        <f>IF(Cleaned_Data!C110="East",1,0)</f>
        <v>1</v>
      </c>
      <c r="D111" s="6">
        <f>IF(Cleaned_Data!D110="Airport",1,0)</f>
        <v>0</v>
      </c>
      <c r="E111" s="5">
        <f>IF(Cleaned_Data!D110="High Street",1,0)</f>
        <v>0</v>
      </c>
      <c r="F111" s="7">
        <f>IF(Cleaned_Data!D110="Residential",1,0)</f>
        <v>0</v>
      </c>
    </row>
    <row r="112" spans="1:6">
      <c r="A112" s="6">
        <f>IF(Cleaned_Data!C111="North",1,0)</f>
        <v>0</v>
      </c>
      <c r="B112" s="5">
        <f>IF(Cleaned_Data!C111="South",1,0)</f>
        <v>0</v>
      </c>
      <c r="C112" s="15">
        <f>IF(Cleaned_Data!C111="East",1,0)</f>
        <v>1</v>
      </c>
      <c r="D112" s="6">
        <f>IF(Cleaned_Data!D111="Airport",1,0)</f>
        <v>0</v>
      </c>
      <c r="E112" s="5">
        <f>IF(Cleaned_Data!D111="High Street",1,0)</f>
        <v>0</v>
      </c>
      <c r="F112" s="7">
        <f>IF(Cleaned_Data!D111="Residential",1,0)</f>
        <v>0</v>
      </c>
    </row>
    <row r="113" spans="1:6">
      <c r="A113" s="6">
        <f>IF(Cleaned_Data!C112="North",1,0)</f>
        <v>0</v>
      </c>
      <c r="B113" s="5">
        <f>IF(Cleaned_Data!C112="South",1,0)</f>
        <v>0</v>
      </c>
      <c r="C113" s="15">
        <f>IF(Cleaned_Data!C112="East",1,0)</f>
        <v>1</v>
      </c>
      <c r="D113" s="6">
        <f>IF(Cleaned_Data!D112="Airport",1,0)</f>
        <v>0</v>
      </c>
      <c r="E113" s="5">
        <f>IF(Cleaned_Data!D112="High Street",1,0)</f>
        <v>0</v>
      </c>
      <c r="F113" s="7">
        <f>IF(Cleaned_Data!D112="Residential",1,0)</f>
        <v>0</v>
      </c>
    </row>
    <row r="114" spans="1:6">
      <c r="A114" s="6">
        <f>IF(Cleaned_Data!C113="North",1,0)</f>
        <v>0</v>
      </c>
      <c r="B114" s="5">
        <f>IF(Cleaned_Data!C113="South",1,0)</f>
        <v>0</v>
      </c>
      <c r="C114" s="15">
        <f>IF(Cleaned_Data!C113="East",1,0)</f>
        <v>1</v>
      </c>
      <c r="D114" s="6">
        <f>IF(Cleaned_Data!D113="Airport",1,0)</f>
        <v>0</v>
      </c>
      <c r="E114" s="5">
        <f>IF(Cleaned_Data!D113="High Street",1,0)</f>
        <v>0</v>
      </c>
      <c r="F114" s="7">
        <f>IF(Cleaned_Data!D113="Residential",1,0)</f>
        <v>0</v>
      </c>
    </row>
    <row r="115" spans="1:6">
      <c r="A115" s="6">
        <f>IF(Cleaned_Data!C114="North",1,0)</f>
        <v>0</v>
      </c>
      <c r="B115" s="5">
        <f>IF(Cleaned_Data!C114="South",1,0)</f>
        <v>0</v>
      </c>
      <c r="C115" s="15">
        <f>IF(Cleaned_Data!C114="East",1,0)</f>
        <v>0</v>
      </c>
      <c r="D115" s="6">
        <f>IF(Cleaned_Data!D114="Airport",1,0)</f>
        <v>0</v>
      </c>
      <c r="E115" s="5">
        <f>IF(Cleaned_Data!D114="High Street",1,0)</f>
        <v>0</v>
      </c>
      <c r="F115" s="7">
        <f>IF(Cleaned_Data!D114="Residential",1,0)</f>
        <v>0</v>
      </c>
    </row>
    <row r="116" spans="1:6">
      <c r="A116" s="6">
        <f>IF(Cleaned_Data!C115="North",1,0)</f>
        <v>0</v>
      </c>
      <c r="B116" s="5">
        <f>IF(Cleaned_Data!C115="South",1,0)</f>
        <v>0</v>
      </c>
      <c r="C116" s="15">
        <f>IF(Cleaned_Data!C115="East",1,0)</f>
        <v>0</v>
      </c>
      <c r="D116" s="6">
        <f>IF(Cleaned_Data!D115="Airport",1,0)</f>
        <v>0</v>
      </c>
      <c r="E116" s="5">
        <f>IF(Cleaned_Data!D115="High Street",1,0)</f>
        <v>0</v>
      </c>
      <c r="F116" s="7">
        <f>IF(Cleaned_Data!D115="Residential",1,0)</f>
        <v>0</v>
      </c>
    </row>
    <row r="117" spans="1:6">
      <c r="A117" s="6">
        <f>IF(Cleaned_Data!C116="North",1,0)</f>
        <v>0</v>
      </c>
      <c r="B117" s="5">
        <f>IF(Cleaned_Data!C116="South",1,0)</f>
        <v>0</v>
      </c>
      <c r="C117" s="15">
        <f>IF(Cleaned_Data!C116="East",1,0)</f>
        <v>0</v>
      </c>
      <c r="D117" s="6">
        <f>IF(Cleaned_Data!D116="Airport",1,0)</f>
        <v>0</v>
      </c>
      <c r="E117" s="5">
        <f>IF(Cleaned_Data!D116="High Street",1,0)</f>
        <v>0</v>
      </c>
      <c r="F117" s="7">
        <f>IF(Cleaned_Data!D116="Residential",1,0)</f>
        <v>0</v>
      </c>
    </row>
    <row r="118" spans="1:6">
      <c r="A118" s="6">
        <f>IF(Cleaned_Data!C117="North",1,0)</f>
        <v>0</v>
      </c>
      <c r="B118" s="5">
        <f>IF(Cleaned_Data!C117="South",1,0)</f>
        <v>0</v>
      </c>
      <c r="C118" s="15">
        <f>IF(Cleaned_Data!C117="East",1,0)</f>
        <v>0</v>
      </c>
      <c r="D118" s="6">
        <f>IF(Cleaned_Data!D117="Airport",1,0)</f>
        <v>0</v>
      </c>
      <c r="E118" s="5">
        <f>IF(Cleaned_Data!D117="High Street",1,0)</f>
        <v>0</v>
      </c>
      <c r="F118" s="7">
        <f>IF(Cleaned_Data!D117="Residential",1,0)</f>
        <v>0</v>
      </c>
    </row>
    <row r="119" spans="1:6">
      <c r="A119" s="6">
        <f>IF(Cleaned_Data!C118="North",1,0)</f>
        <v>0</v>
      </c>
      <c r="B119" s="5">
        <f>IF(Cleaned_Data!C118="South",1,0)</f>
        <v>0</v>
      </c>
      <c r="C119" s="15">
        <f>IF(Cleaned_Data!C118="East",1,0)</f>
        <v>0</v>
      </c>
      <c r="D119" s="6">
        <f>IF(Cleaned_Data!D118="Airport",1,0)</f>
        <v>0</v>
      </c>
      <c r="E119" s="5">
        <f>IF(Cleaned_Data!D118="High Street",1,0)</f>
        <v>0</v>
      </c>
      <c r="F119" s="7">
        <f>IF(Cleaned_Data!D118="Residential",1,0)</f>
        <v>1</v>
      </c>
    </row>
    <row r="120" spans="1:6">
      <c r="A120" s="6">
        <f>IF(Cleaned_Data!C119="North",1,0)</f>
        <v>0</v>
      </c>
      <c r="B120" s="5">
        <f>IF(Cleaned_Data!C119="South",1,0)</f>
        <v>0</v>
      </c>
      <c r="C120" s="15">
        <f>IF(Cleaned_Data!C119="East",1,0)</f>
        <v>0</v>
      </c>
      <c r="D120" s="6">
        <f>IF(Cleaned_Data!D119="Airport",1,0)</f>
        <v>0</v>
      </c>
      <c r="E120" s="5">
        <f>IF(Cleaned_Data!D119="High Street",1,0)</f>
        <v>0</v>
      </c>
      <c r="F120" s="7">
        <f>IF(Cleaned_Data!D119="Residential",1,0)</f>
        <v>1</v>
      </c>
    </row>
    <row r="121" spans="1:6">
      <c r="A121" s="6">
        <f>IF(Cleaned_Data!C120="North",1,0)</f>
        <v>0</v>
      </c>
      <c r="B121" s="5">
        <f>IF(Cleaned_Data!C120="South",1,0)</f>
        <v>0</v>
      </c>
      <c r="C121" s="15">
        <f>IF(Cleaned_Data!C120="East",1,0)</f>
        <v>0</v>
      </c>
      <c r="D121" s="6">
        <f>IF(Cleaned_Data!D120="Airport",1,0)</f>
        <v>0</v>
      </c>
      <c r="E121" s="5">
        <f>IF(Cleaned_Data!D120="High Street",1,0)</f>
        <v>0</v>
      </c>
      <c r="F121" s="7">
        <f>IF(Cleaned_Data!D120="Residential",1,0)</f>
        <v>1</v>
      </c>
    </row>
    <row r="122" spans="1:6">
      <c r="A122" s="6">
        <f>IF(Cleaned_Data!C121="North",1,0)</f>
        <v>0</v>
      </c>
      <c r="B122" s="5">
        <f>IF(Cleaned_Data!C121="South",1,0)</f>
        <v>0</v>
      </c>
      <c r="C122" s="15">
        <f>IF(Cleaned_Data!C121="East",1,0)</f>
        <v>0</v>
      </c>
      <c r="D122" s="6">
        <f>IF(Cleaned_Data!D121="Airport",1,0)</f>
        <v>0</v>
      </c>
      <c r="E122" s="5">
        <f>IF(Cleaned_Data!D121="High Street",1,0)</f>
        <v>0</v>
      </c>
      <c r="F122" s="7">
        <f>IF(Cleaned_Data!D121="Residential",1,0)</f>
        <v>1</v>
      </c>
    </row>
    <row r="123" spans="1:6">
      <c r="A123" s="6">
        <f>IF(Cleaned_Data!C122="North",1,0)</f>
        <v>1</v>
      </c>
      <c r="B123" s="5">
        <f>IF(Cleaned_Data!C122="South",1,0)</f>
        <v>0</v>
      </c>
      <c r="C123" s="15">
        <f>IF(Cleaned_Data!C122="East",1,0)</f>
        <v>0</v>
      </c>
      <c r="D123" s="6">
        <f>IF(Cleaned_Data!D122="Airport",1,0)</f>
        <v>0</v>
      </c>
      <c r="E123" s="5">
        <f>IF(Cleaned_Data!D122="High Street",1,0)</f>
        <v>1</v>
      </c>
      <c r="F123" s="7">
        <f>IF(Cleaned_Data!D122="Residential",1,0)</f>
        <v>0</v>
      </c>
    </row>
    <row r="124" spans="1:6">
      <c r="A124" s="6">
        <f>IF(Cleaned_Data!C123="North",1,0)</f>
        <v>1</v>
      </c>
      <c r="B124" s="5">
        <f>IF(Cleaned_Data!C123="South",1,0)</f>
        <v>0</v>
      </c>
      <c r="C124" s="15">
        <f>IF(Cleaned_Data!C123="East",1,0)</f>
        <v>0</v>
      </c>
      <c r="D124" s="6">
        <f>IF(Cleaned_Data!D123="Airport",1,0)</f>
        <v>0</v>
      </c>
      <c r="E124" s="5">
        <f>IF(Cleaned_Data!D123="High Street",1,0)</f>
        <v>1</v>
      </c>
      <c r="F124" s="7">
        <f>IF(Cleaned_Data!D123="Residential",1,0)</f>
        <v>0</v>
      </c>
    </row>
    <row r="125" spans="1:6">
      <c r="A125" s="6">
        <f>IF(Cleaned_Data!C124="North",1,0)</f>
        <v>1</v>
      </c>
      <c r="B125" s="5">
        <f>IF(Cleaned_Data!C124="South",1,0)</f>
        <v>0</v>
      </c>
      <c r="C125" s="15">
        <f>IF(Cleaned_Data!C124="East",1,0)</f>
        <v>0</v>
      </c>
      <c r="D125" s="6">
        <f>IF(Cleaned_Data!D124="Airport",1,0)</f>
        <v>0</v>
      </c>
      <c r="E125" s="5">
        <f>IF(Cleaned_Data!D124="High Street",1,0)</f>
        <v>1</v>
      </c>
      <c r="F125" s="7">
        <f>IF(Cleaned_Data!D124="Residential",1,0)</f>
        <v>0</v>
      </c>
    </row>
    <row r="126" spans="1:6">
      <c r="A126" s="6">
        <f>IF(Cleaned_Data!C125="North",1,0)</f>
        <v>1</v>
      </c>
      <c r="B126" s="5">
        <f>IF(Cleaned_Data!C125="South",1,0)</f>
        <v>0</v>
      </c>
      <c r="C126" s="15">
        <f>IF(Cleaned_Data!C125="East",1,0)</f>
        <v>0</v>
      </c>
      <c r="D126" s="6">
        <f>IF(Cleaned_Data!D125="Airport",1,0)</f>
        <v>0</v>
      </c>
      <c r="E126" s="5">
        <f>IF(Cleaned_Data!D125="High Street",1,0)</f>
        <v>1</v>
      </c>
      <c r="F126" s="7">
        <f>IF(Cleaned_Data!D125="Residential",1,0)</f>
        <v>0</v>
      </c>
    </row>
    <row r="127" spans="1:6">
      <c r="A127" s="6">
        <f>IF(Cleaned_Data!C126="North",1,0)</f>
        <v>0</v>
      </c>
      <c r="B127" s="5">
        <f>IF(Cleaned_Data!C126="South",1,0)</f>
        <v>1</v>
      </c>
      <c r="C127" s="15">
        <f>IF(Cleaned_Data!C126="East",1,0)</f>
        <v>0</v>
      </c>
      <c r="D127" s="6">
        <f>IF(Cleaned_Data!D126="Airport",1,0)</f>
        <v>0</v>
      </c>
      <c r="E127" s="5">
        <f>IF(Cleaned_Data!D126="High Street",1,0)</f>
        <v>1</v>
      </c>
      <c r="F127" s="7">
        <f>IF(Cleaned_Data!D126="Residential",1,0)</f>
        <v>0</v>
      </c>
    </row>
    <row r="128" spans="1:6">
      <c r="A128" s="6">
        <f>IF(Cleaned_Data!C127="North",1,0)</f>
        <v>0</v>
      </c>
      <c r="B128" s="5">
        <f>IF(Cleaned_Data!C127="South",1,0)</f>
        <v>1</v>
      </c>
      <c r="C128" s="15">
        <f>IF(Cleaned_Data!C127="East",1,0)</f>
        <v>0</v>
      </c>
      <c r="D128" s="6">
        <f>IF(Cleaned_Data!D127="Airport",1,0)</f>
        <v>0</v>
      </c>
      <c r="E128" s="5">
        <f>IF(Cleaned_Data!D127="High Street",1,0)</f>
        <v>1</v>
      </c>
      <c r="F128" s="7">
        <f>IF(Cleaned_Data!D127="Residential",1,0)</f>
        <v>0</v>
      </c>
    </row>
    <row r="129" spans="1:6">
      <c r="A129" s="6">
        <f>IF(Cleaned_Data!C128="North",1,0)</f>
        <v>0</v>
      </c>
      <c r="B129" s="5">
        <f>IF(Cleaned_Data!C128="South",1,0)</f>
        <v>1</v>
      </c>
      <c r="C129" s="15">
        <f>IF(Cleaned_Data!C128="East",1,0)</f>
        <v>0</v>
      </c>
      <c r="D129" s="6">
        <f>IF(Cleaned_Data!D128="Airport",1,0)</f>
        <v>0</v>
      </c>
      <c r="E129" s="5">
        <f>IF(Cleaned_Data!D128="High Street",1,0)</f>
        <v>1</v>
      </c>
      <c r="F129" s="7">
        <f>IF(Cleaned_Data!D128="Residential",1,0)</f>
        <v>0</v>
      </c>
    </row>
    <row r="130" spans="1:6">
      <c r="A130" s="6">
        <f>IF(Cleaned_Data!C129="North",1,0)</f>
        <v>0</v>
      </c>
      <c r="B130" s="5">
        <f>IF(Cleaned_Data!C129="South",1,0)</f>
        <v>1</v>
      </c>
      <c r="C130" s="15">
        <f>IF(Cleaned_Data!C129="East",1,0)</f>
        <v>0</v>
      </c>
      <c r="D130" s="6">
        <f>IF(Cleaned_Data!D129="Airport",1,0)</f>
        <v>0</v>
      </c>
      <c r="E130" s="5">
        <f>IF(Cleaned_Data!D129="High Street",1,0)</f>
        <v>1</v>
      </c>
      <c r="F130" s="7">
        <f>IF(Cleaned_Data!D129="Residential",1,0)</f>
        <v>0</v>
      </c>
    </row>
    <row r="131" spans="1:6">
      <c r="A131" s="6">
        <f>IF(Cleaned_Data!C130="North",1,0)</f>
        <v>0</v>
      </c>
      <c r="B131" s="5">
        <f>IF(Cleaned_Data!C130="South",1,0)</f>
        <v>0</v>
      </c>
      <c r="C131" s="15">
        <f>IF(Cleaned_Data!C130="East",1,0)</f>
        <v>1</v>
      </c>
      <c r="D131" s="6">
        <f>IF(Cleaned_Data!D130="Airport",1,0)</f>
        <v>0</v>
      </c>
      <c r="E131" s="5">
        <f>IF(Cleaned_Data!D130="High Street",1,0)</f>
        <v>1</v>
      </c>
      <c r="F131" s="7">
        <f>IF(Cleaned_Data!D130="Residential",1,0)</f>
        <v>0</v>
      </c>
    </row>
    <row r="132" spans="1:6">
      <c r="A132" s="6">
        <f>IF(Cleaned_Data!C131="North",1,0)</f>
        <v>0</v>
      </c>
      <c r="B132" s="5">
        <f>IF(Cleaned_Data!C131="South",1,0)</f>
        <v>0</v>
      </c>
      <c r="C132" s="15">
        <f>IF(Cleaned_Data!C131="East",1,0)</f>
        <v>1</v>
      </c>
      <c r="D132" s="6">
        <f>IF(Cleaned_Data!D131="Airport",1,0)</f>
        <v>0</v>
      </c>
      <c r="E132" s="5">
        <f>IF(Cleaned_Data!D131="High Street",1,0)</f>
        <v>1</v>
      </c>
      <c r="F132" s="7">
        <f>IF(Cleaned_Data!D131="Residential",1,0)</f>
        <v>0</v>
      </c>
    </row>
    <row r="133" spans="1:6">
      <c r="A133" s="6">
        <f>IF(Cleaned_Data!C132="North",1,0)</f>
        <v>0</v>
      </c>
      <c r="B133" s="5">
        <f>IF(Cleaned_Data!C132="South",1,0)</f>
        <v>0</v>
      </c>
      <c r="C133" s="15">
        <f>IF(Cleaned_Data!C132="East",1,0)</f>
        <v>1</v>
      </c>
      <c r="D133" s="6">
        <f>IF(Cleaned_Data!D132="Airport",1,0)</f>
        <v>0</v>
      </c>
      <c r="E133" s="5">
        <f>IF(Cleaned_Data!D132="High Street",1,0)</f>
        <v>1</v>
      </c>
      <c r="F133" s="7">
        <f>IF(Cleaned_Data!D132="Residential",1,0)</f>
        <v>0</v>
      </c>
    </row>
    <row r="134" spans="1:6">
      <c r="A134" s="6">
        <f>IF(Cleaned_Data!C133="North",1,0)</f>
        <v>0</v>
      </c>
      <c r="B134" s="5">
        <f>IF(Cleaned_Data!C133="South",1,0)</f>
        <v>0</v>
      </c>
      <c r="C134" s="15">
        <f>IF(Cleaned_Data!C133="East",1,0)</f>
        <v>1</v>
      </c>
      <c r="D134" s="6">
        <f>IF(Cleaned_Data!D133="Airport",1,0)</f>
        <v>0</v>
      </c>
      <c r="E134" s="5">
        <f>IF(Cleaned_Data!D133="High Street",1,0)</f>
        <v>1</v>
      </c>
      <c r="F134" s="7">
        <f>IF(Cleaned_Data!D133="Residential",1,0)</f>
        <v>0</v>
      </c>
    </row>
    <row r="135" spans="1:6">
      <c r="A135" s="6">
        <f>IF(Cleaned_Data!C134="North",1,0)</f>
        <v>1</v>
      </c>
      <c r="B135" s="5">
        <f>IF(Cleaned_Data!C134="South",1,0)</f>
        <v>0</v>
      </c>
      <c r="C135" s="15">
        <f>IF(Cleaned_Data!C134="East",1,0)</f>
        <v>0</v>
      </c>
      <c r="D135" s="6">
        <f>IF(Cleaned_Data!D134="Airport",1,0)</f>
        <v>0</v>
      </c>
      <c r="E135" s="5">
        <f>IF(Cleaned_Data!D134="High Street",1,0)</f>
        <v>1</v>
      </c>
      <c r="F135" s="7">
        <f>IF(Cleaned_Data!D134="Residential",1,0)</f>
        <v>0</v>
      </c>
    </row>
    <row r="136" spans="1:6">
      <c r="A136" s="6">
        <f>IF(Cleaned_Data!C135="North",1,0)</f>
        <v>1</v>
      </c>
      <c r="B136" s="5">
        <f>IF(Cleaned_Data!C135="South",1,0)</f>
        <v>0</v>
      </c>
      <c r="C136" s="15">
        <f>IF(Cleaned_Data!C135="East",1,0)</f>
        <v>0</v>
      </c>
      <c r="D136" s="6">
        <f>IF(Cleaned_Data!D135="Airport",1,0)</f>
        <v>0</v>
      </c>
      <c r="E136" s="5">
        <f>IF(Cleaned_Data!D135="High Street",1,0)</f>
        <v>1</v>
      </c>
      <c r="F136" s="7">
        <f>IF(Cleaned_Data!D135="Residential",1,0)</f>
        <v>0</v>
      </c>
    </row>
    <row r="137" spans="1:6">
      <c r="A137" s="6">
        <f>IF(Cleaned_Data!C136="North",1,0)</f>
        <v>1</v>
      </c>
      <c r="B137" s="5">
        <f>IF(Cleaned_Data!C136="South",1,0)</f>
        <v>0</v>
      </c>
      <c r="C137" s="15">
        <f>IF(Cleaned_Data!C136="East",1,0)</f>
        <v>0</v>
      </c>
      <c r="D137" s="6">
        <f>IF(Cleaned_Data!D136="Airport",1,0)</f>
        <v>0</v>
      </c>
      <c r="E137" s="5">
        <f>IF(Cleaned_Data!D136="High Street",1,0)</f>
        <v>1</v>
      </c>
      <c r="F137" s="7">
        <f>IF(Cleaned_Data!D136="Residential",1,0)</f>
        <v>0</v>
      </c>
    </row>
    <row r="138" spans="1:6">
      <c r="A138" s="6">
        <f>IF(Cleaned_Data!C137="North",1,0)</f>
        <v>1</v>
      </c>
      <c r="B138" s="5">
        <f>IF(Cleaned_Data!C137="South",1,0)</f>
        <v>0</v>
      </c>
      <c r="C138" s="15">
        <f>IF(Cleaned_Data!C137="East",1,0)</f>
        <v>0</v>
      </c>
      <c r="D138" s="6">
        <f>IF(Cleaned_Data!D137="Airport",1,0)</f>
        <v>0</v>
      </c>
      <c r="E138" s="5">
        <f>IF(Cleaned_Data!D137="High Street",1,0)</f>
        <v>1</v>
      </c>
      <c r="F138" s="7">
        <f>IF(Cleaned_Data!D137="Residential",1,0)</f>
        <v>0</v>
      </c>
    </row>
    <row r="139" spans="1:6">
      <c r="A139" s="6">
        <f>IF(Cleaned_Data!C138="North",1,0)</f>
        <v>0</v>
      </c>
      <c r="B139" s="5">
        <f>IF(Cleaned_Data!C138="South",1,0)</f>
        <v>1</v>
      </c>
      <c r="C139" s="15">
        <f>IF(Cleaned_Data!C138="East",1,0)</f>
        <v>0</v>
      </c>
      <c r="D139" s="6">
        <f>IF(Cleaned_Data!D138="Airport",1,0)</f>
        <v>0</v>
      </c>
      <c r="E139" s="5">
        <f>IF(Cleaned_Data!D138="High Street",1,0)</f>
        <v>0</v>
      </c>
      <c r="F139" s="7">
        <f>IF(Cleaned_Data!D138="Residential",1,0)</f>
        <v>1</v>
      </c>
    </row>
    <row r="140" spans="1:6">
      <c r="A140" s="6">
        <f>IF(Cleaned_Data!C139="North",1,0)</f>
        <v>0</v>
      </c>
      <c r="B140" s="5">
        <f>IF(Cleaned_Data!C139="South",1,0)</f>
        <v>1</v>
      </c>
      <c r="C140" s="15">
        <f>IF(Cleaned_Data!C139="East",1,0)</f>
        <v>0</v>
      </c>
      <c r="D140" s="6">
        <f>IF(Cleaned_Data!D139="Airport",1,0)</f>
        <v>0</v>
      </c>
      <c r="E140" s="5">
        <f>IF(Cleaned_Data!D139="High Street",1,0)</f>
        <v>0</v>
      </c>
      <c r="F140" s="7">
        <f>IF(Cleaned_Data!D139="Residential",1,0)</f>
        <v>1</v>
      </c>
    </row>
    <row r="141" spans="1:6">
      <c r="A141" s="6">
        <f>IF(Cleaned_Data!C140="North",1,0)</f>
        <v>0</v>
      </c>
      <c r="B141" s="5">
        <f>IF(Cleaned_Data!C140="South",1,0)</f>
        <v>1</v>
      </c>
      <c r="C141" s="15">
        <f>IF(Cleaned_Data!C140="East",1,0)</f>
        <v>0</v>
      </c>
      <c r="D141" s="6">
        <f>IF(Cleaned_Data!D140="Airport",1,0)</f>
        <v>0</v>
      </c>
      <c r="E141" s="5">
        <f>IF(Cleaned_Data!D140="High Street",1,0)</f>
        <v>0</v>
      </c>
      <c r="F141" s="7">
        <f>IF(Cleaned_Data!D140="Residential",1,0)</f>
        <v>1</v>
      </c>
    </row>
    <row r="142" spans="1:6">
      <c r="A142" s="6">
        <f>IF(Cleaned_Data!C141="North",1,0)</f>
        <v>0</v>
      </c>
      <c r="B142" s="5">
        <f>IF(Cleaned_Data!C141="South",1,0)</f>
        <v>1</v>
      </c>
      <c r="C142" s="15">
        <f>IF(Cleaned_Data!C141="East",1,0)</f>
        <v>0</v>
      </c>
      <c r="D142" s="6">
        <f>IF(Cleaned_Data!D141="Airport",1,0)</f>
        <v>0</v>
      </c>
      <c r="E142" s="5">
        <f>IF(Cleaned_Data!D141="High Street",1,0)</f>
        <v>0</v>
      </c>
      <c r="F142" s="7">
        <f>IF(Cleaned_Data!D141="Residential",1,0)</f>
        <v>1</v>
      </c>
    </row>
    <row r="143" spans="1:6">
      <c r="A143" s="6">
        <f>IF(Cleaned_Data!C142="North",1,0)</f>
        <v>0</v>
      </c>
      <c r="B143" s="5">
        <f>IF(Cleaned_Data!C142="South",1,0)</f>
        <v>0</v>
      </c>
      <c r="C143" s="15">
        <f>IF(Cleaned_Data!C142="East",1,0)</f>
        <v>0</v>
      </c>
      <c r="D143" s="6">
        <f>IF(Cleaned_Data!D142="Airport",1,0)</f>
        <v>0</v>
      </c>
      <c r="E143" s="5">
        <f>IF(Cleaned_Data!D142="High Street",1,0)</f>
        <v>1</v>
      </c>
      <c r="F143" s="7">
        <f>IF(Cleaned_Data!D142="Residential",1,0)</f>
        <v>0</v>
      </c>
    </row>
    <row r="144" spans="1:6">
      <c r="A144" s="6">
        <f>IF(Cleaned_Data!C143="North",1,0)</f>
        <v>0</v>
      </c>
      <c r="B144" s="5">
        <f>IF(Cleaned_Data!C143="South",1,0)</f>
        <v>0</v>
      </c>
      <c r="C144" s="15">
        <f>IF(Cleaned_Data!C143="East",1,0)</f>
        <v>0</v>
      </c>
      <c r="D144" s="6">
        <f>IF(Cleaned_Data!D143="Airport",1,0)</f>
        <v>0</v>
      </c>
      <c r="E144" s="5">
        <f>IF(Cleaned_Data!D143="High Street",1,0)</f>
        <v>1</v>
      </c>
      <c r="F144" s="7">
        <f>IF(Cleaned_Data!D143="Residential",1,0)</f>
        <v>0</v>
      </c>
    </row>
    <row r="145" spans="1:6">
      <c r="A145" s="6">
        <f>IF(Cleaned_Data!C144="North",1,0)</f>
        <v>0</v>
      </c>
      <c r="B145" s="5">
        <f>IF(Cleaned_Data!C144="South",1,0)</f>
        <v>0</v>
      </c>
      <c r="C145" s="15">
        <f>IF(Cleaned_Data!C144="East",1,0)</f>
        <v>0</v>
      </c>
      <c r="D145" s="6">
        <f>IF(Cleaned_Data!D144="Airport",1,0)</f>
        <v>0</v>
      </c>
      <c r="E145" s="5">
        <f>IF(Cleaned_Data!D144="High Street",1,0)</f>
        <v>1</v>
      </c>
      <c r="F145" s="7">
        <f>IF(Cleaned_Data!D144="Residential",1,0)</f>
        <v>0</v>
      </c>
    </row>
    <row r="146" spans="1:6">
      <c r="A146" s="6">
        <f>IF(Cleaned_Data!C145="North",1,0)</f>
        <v>0</v>
      </c>
      <c r="B146" s="5">
        <f>IF(Cleaned_Data!C145="South",1,0)</f>
        <v>0</v>
      </c>
      <c r="C146" s="15">
        <f>IF(Cleaned_Data!C145="East",1,0)</f>
        <v>0</v>
      </c>
      <c r="D146" s="6">
        <f>IF(Cleaned_Data!D145="Airport",1,0)</f>
        <v>0</v>
      </c>
      <c r="E146" s="5">
        <f>IF(Cleaned_Data!D145="High Street",1,0)</f>
        <v>1</v>
      </c>
      <c r="F146" s="7">
        <f>IF(Cleaned_Data!D145="Residential",1,0)</f>
        <v>0</v>
      </c>
    </row>
    <row r="147" spans="1:6">
      <c r="A147" s="6">
        <f>IF(Cleaned_Data!C146="North",1,0)</f>
        <v>1</v>
      </c>
      <c r="B147" s="5">
        <f>IF(Cleaned_Data!C146="South",1,0)</f>
        <v>0</v>
      </c>
      <c r="C147" s="15">
        <f>IF(Cleaned_Data!C146="East",1,0)</f>
        <v>0</v>
      </c>
      <c r="D147" s="6">
        <f>IF(Cleaned_Data!D146="Airport",1,0)</f>
        <v>0</v>
      </c>
      <c r="E147" s="5">
        <f>IF(Cleaned_Data!D146="High Street",1,0)</f>
        <v>0</v>
      </c>
      <c r="F147" s="7">
        <f>IF(Cleaned_Data!D146="Residential",1,0)</f>
        <v>1</v>
      </c>
    </row>
    <row r="148" spans="1:6">
      <c r="A148" s="6">
        <f>IF(Cleaned_Data!C147="North",1,0)</f>
        <v>1</v>
      </c>
      <c r="B148" s="5">
        <f>IF(Cleaned_Data!C147="South",1,0)</f>
        <v>0</v>
      </c>
      <c r="C148" s="15">
        <f>IF(Cleaned_Data!C147="East",1,0)</f>
        <v>0</v>
      </c>
      <c r="D148" s="6">
        <f>IF(Cleaned_Data!D147="Airport",1,0)</f>
        <v>0</v>
      </c>
      <c r="E148" s="5">
        <f>IF(Cleaned_Data!D147="High Street",1,0)</f>
        <v>0</v>
      </c>
      <c r="F148" s="7">
        <f>IF(Cleaned_Data!D147="Residential",1,0)</f>
        <v>1</v>
      </c>
    </row>
    <row r="149" spans="1:6">
      <c r="A149" s="6">
        <f>IF(Cleaned_Data!C148="North",1,0)</f>
        <v>1</v>
      </c>
      <c r="B149" s="5">
        <f>IF(Cleaned_Data!C148="South",1,0)</f>
        <v>0</v>
      </c>
      <c r="C149" s="15">
        <f>IF(Cleaned_Data!C148="East",1,0)</f>
        <v>0</v>
      </c>
      <c r="D149" s="6">
        <f>IF(Cleaned_Data!D148="Airport",1,0)</f>
        <v>0</v>
      </c>
      <c r="E149" s="5">
        <f>IF(Cleaned_Data!D148="High Street",1,0)</f>
        <v>0</v>
      </c>
      <c r="F149" s="7">
        <f>IF(Cleaned_Data!D148="Residential",1,0)</f>
        <v>1</v>
      </c>
    </row>
    <row r="150" spans="1:6">
      <c r="A150" s="6">
        <f>IF(Cleaned_Data!C149="North",1,0)</f>
        <v>1</v>
      </c>
      <c r="B150" s="5">
        <f>IF(Cleaned_Data!C149="South",1,0)</f>
        <v>0</v>
      </c>
      <c r="C150" s="15">
        <f>IF(Cleaned_Data!C149="East",1,0)</f>
        <v>0</v>
      </c>
      <c r="D150" s="6">
        <f>IF(Cleaned_Data!D149="Airport",1,0)</f>
        <v>0</v>
      </c>
      <c r="E150" s="5">
        <f>IF(Cleaned_Data!D149="High Street",1,0)</f>
        <v>0</v>
      </c>
      <c r="F150" s="7">
        <f>IF(Cleaned_Data!D149="Residential",1,0)</f>
        <v>1</v>
      </c>
    </row>
    <row r="151" spans="1:6">
      <c r="A151" s="6">
        <f>IF(Cleaned_Data!C150="North",1,0)</f>
        <v>0</v>
      </c>
      <c r="B151" s="5">
        <f>IF(Cleaned_Data!C150="South",1,0)</f>
        <v>1</v>
      </c>
      <c r="C151" s="15">
        <f>IF(Cleaned_Data!C150="East",1,0)</f>
        <v>0</v>
      </c>
      <c r="D151" s="6">
        <f>IF(Cleaned_Data!D150="Airport",1,0)</f>
        <v>0</v>
      </c>
      <c r="E151" s="5">
        <f>IF(Cleaned_Data!D150="High Street",1,0)</f>
        <v>0</v>
      </c>
      <c r="F151" s="7">
        <f>IF(Cleaned_Data!D150="Residential",1,0)</f>
        <v>0</v>
      </c>
    </row>
    <row r="152" spans="1:6">
      <c r="A152" s="6">
        <f>IF(Cleaned_Data!C151="North",1,0)</f>
        <v>0</v>
      </c>
      <c r="B152" s="5">
        <f>IF(Cleaned_Data!C151="South",1,0)</f>
        <v>1</v>
      </c>
      <c r="C152" s="15">
        <f>IF(Cleaned_Data!C151="East",1,0)</f>
        <v>0</v>
      </c>
      <c r="D152" s="6">
        <f>IF(Cleaned_Data!D151="Airport",1,0)</f>
        <v>0</v>
      </c>
      <c r="E152" s="5">
        <f>IF(Cleaned_Data!D151="High Street",1,0)</f>
        <v>0</v>
      </c>
      <c r="F152" s="7">
        <f>IF(Cleaned_Data!D151="Residential",1,0)</f>
        <v>0</v>
      </c>
    </row>
    <row r="153" spans="1:6">
      <c r="A153" s="6">
        <f>IF(Cleaned_Data!C152="North",1,0)</f>
        <v>0</v>
      </c>
      <c r="B153" s="5">
        <f>IF(Cleaned_Data!C152="South",1,0)</f>
        <v>1</v>
      </c>
      <c r="C153" s="15">
        <f>IF(Cleaned_Data!C152="East",1,0)</f>
        <v>0</v>
      </c>
      <c r="D153" s="6">
        <f>IF(Cleaned_Data!D152="Airport",1,0)</f>
        <v>0</v>
      </c>
      <c r="E153" s="5">
        <f>IF(Cleaned_Data!D152="High Street",1,0)</f>
        <v>0</v>
      </c>
      <c r="F153" s="7">
        <f>IF(Cleaned_Data!D152="Residential",1,0)</f>
        <v>0</v>
      </c>
    </row>
    <row r="154" spans="1:6">
      <c r="A154" s="6">
        <f>IF(Cleaned_Data!C153="North",1,0)</f>
        <v>0</v>
      </c>
      <c r="B154" s="5">
        <f>IF(Cleaned_Data!C153="South",1,0)</f>
        <v>1</v>
      </c>
      <c r="C154" s="15">
        <f>IF(Cleaned_Data!C153="East",1,0)</f>
        <v>0</v>
      </c>
      <c r="D154" s="6">
        <f>IF(Cleaned_Data!D153="Airport",1,0)</f>
        <v>0</v>
      </c>
      <c r="E154" s="5">
        <f>IF(Cleaned_Data!D153="High Street",1,0)</f>
        <v>0</v>
      </c>
      <c r="F154" s="7">
        <f>IF(Cleaned_Data!D153="Residential",1,0)</f>
        <v>0</v>
      </c>
    </row>
    <row r="155" spans="1:6">
      <c r="A155" s="6">
        <f>IF(Cleaned_Data!C154="North",1,0)</f>
        <v>0</v>
      </c>
      <c r="B155" s="5">
        <f>IF(Cleaned_Data!C154="South",1,0)</f>
        <v>0</v>
      </c>
      <c r="C155" s="15">
        <f>IF(Cleaned_Data!C154="East",1,0)</f>
        <v>1</v>
      </c>
      <c r="D155" s="6">
        <f>IF(Cleaned_Data!D154="Airport",1,0)</f>
        <v>0</v>
      </c>
      <c r="E155" s="5">
        <f>IF(Cleaned_Data!D154="High Street",1,0)</f>
        <v>1</v>
      </c>
      <c r="F155" s="7">
        <f>IF(Cleaned_Data!D154="Residential",1,0)</f>
        <v>0</v>
      </c>
    </row>
    <row r="156" spans="1:6">
      <c r="A156" s="6">
        <f>IF(Cleaned_Data!C155="North",1,0)</f>
        <v>0</v>
      </c>
      <c r="B156" s="5">
        <f>IF(Cleaned_Data!C155="South",1,0)</f>
        <v>0</v>
      </c>
      <c r="C156" s="15">
        <f>IF(Cleaned_Data!C155="East",1,0)</f>
        <v>1</v>
      </c>
      <c r="D156" s="6">
        <f>IF(Cleaned_Data!D155="Airport",1,0)</f>
        <v>0</v>
      </c>
      <c r="E156" s="5">
        <f>IF(Cleaned_Data!D155="High Street",1,0)</f>
        <v>1</v>
      </c>
      <c r="F156" s="7">
        <f>IF(Cleaned_Data!D155="Residential",1,0)</f>
        <v>0</v>
      </c>
    </row>
    <row r="157" spans="1:6">
      <c r="A157" s="6">
        <f>IF(Cleaned_Data!C156="North",1,0)</f>
        <v>0</v>
      </c>
      <c r="B157" s="5">
        <f>IF(Cleaned_Data!C156="South",1,0)</f>
        <v>0</v>
      </c>
      <c r="C157" s="15">
        <f>IF(Cleaned_Data!C156="East",1,0)</f>
        <v>1</v>
      </c>
      <c r="D157" s="6">
        <f>IF(Cleaned_Data!D156="Airport",1,0)</f>
        <v>0</v>
      </c>
      <c r="E157" s="5">
        <f>IF(Cleaned_Data!D156="High Street",1,0)</f>
        <v>1</v>
      </c>
      <c r="F157" s="7">
        <f>IF(Cleaned_Data!D156="Residential",1,0)</f>
        <v>0</v>
      </c>
    </row>
    <row r="158" spans="1:6">
      <c r="A158" s="6">
        <f>IF(Cleaned_Data!C157="North",1,0)</f>
        <v>0</v>
      </c>
      <c r="B158" s="5">
        <f>IF(Cleaned_Data!C157="South",1,0)</f>
        <v>0</v>
      </c>
      <c r="C158" s="15">
        <f>IF(Cleaned_Data!C157="East",1,0)</f>
        <v>1</v>
      </c>
      <c r="D158" s="6">
        <f>IF(Cleaned_Data!D157="Airport",1,0)</f>
        <v>0</v>
      </c>
      <c r="E158" s="5">
        <f>IF(Cleaned_Data!D157="High Street",1,0)</f>
        <v>1</v>
      </c>
      <c r="F158" s="7">
        <f>IF(Cleaned_Data!D157="Residential",1,0)</f>
        <v>0</v>
      </c>
    </row>
    <row r="159" spans="1:6">
      <c r="A159" s="6">
        <f>IF(Cleaned_Data!C158="North",1,0)</f>
        <v>1</v>
      </c>
      <c r="B159" s="5">
        <f>IF(Cleaned_Data!C158="South",1,0)</f>
        <v>0</v>
      </c>
      <c r="C159" s="15">
        <f>IF(Cleaned_Data!C158="East",1,0)</f>
        <v>0</v>
      </c>
      <c r="D159" s="6">
        <f>IF(Cleaned_Data!D158="Airport",1,0)</f>
        <v>0</v>
      </c>
      <c r="E159" s="5">
        <f>IF(Cleaned_Data!D158="High Street",1,0)</f>
        <v>0</v>
      </c>
      <c r="F159" s="7">
        <f>IF(Cleaned_Data!D158="Residential",1,0)</f>
        <v>0</v>
      </c>
    </row>
    <row r="160" spans="1:6">
      <c r="A160" s="6">
        <f>IF(Cleaned_Data!C159="North",1,0)</f>
        <v>1</v>
      </c>
      <c r="B160" s="5">
        <f>IF(Cleaned_Data!C159="South",1,0)</f>
        <v>0</v>
      </c>
      <c r="C160" s="15">
        <f>IF(Cleaned_Data!C159="East",1,0)</f>
        <v>0</v>
      </c>
      <c r="D160" s="6">
        <f>IF(Cleaned_Data!D159="Airport",1,0)</f>
        <v>0</v>
      </c>
      <c r="E160" s="5">
        <f>IF(Cleaned_Data!D159="High Street",1,0)</f>
        <v>0</v>
      </c>
      <c r="F160" s="7">
        <f>IF(Cleaned_Data!D159="Residential",1,0)</f>
        <v>0</v>
      </c>
    </row>
    <row r="161" spans="1:6">
      <c r="A161" s="6">
        <f>IF(Cleaned_Data!C160="North",1,0)</f>
        <v>1</v>
      </c>
      <c r="B161" s="5">
        <f>IF(Cleaned_Data!C160="South",1,0)</f>
        <v>0</v>
      </c>
      <c r="C161" s="15">
        <f>IF(Cleaned_Data!C160="East",1,0)</f>
        <v>0</v>
      </c>
      <c r="D161" s="6">
        <f>IF(Cleaned_Data!D160="Airport",1,0)</f>
        <v>0</v>
      </c>
      <c r="E161" s="5">
        <f>IF(Cleaned_Data!D160="High Street",1,0)</f>
        <v>0</v>
      </c>
      <c r="F161" s="7">
        <f>IF(Cleaned_Data!D160="Residential",1,0)</f>
        <v>0</v>
      </c>
    </row>
    <row r="162" spans="1:6">
      <c r="A162" s="6">
        <f>IF(Cleaned_Data!C161="North",1,0)</f>
        <v>1</v>
      </c>
      <c r="B162" s="5">
        <f>IF(Cleaned_Data!C161="South",1,0)</f>
        <v>0</v>
      </c>
      <c r="C162" s="15">
        <f>IF(Cleaned_Data!C161="East",1,0)</f>
        <v>0</v>
      </c>
      <c r="D162" s="6">
        <f>IF(Cleaned_Data!D161="Airport",1,0)</f>
        <v>0</v>
      </c>
      <c r="E162" s="5">
        <f>IF(Cleaned_Data!D161="High Street",1,0)</f>
        <v>0</v>
      </c>
      <c r="F162" s="7">
        <f>IF(Cleaned_Data!D161="Residential",1,0)</f>
        <v>0</v>
      </c>
    </row>
    <row r="163" spans="1:6">
      <c r="A163" s="6">
        <f>IF(Cleaned_Data!C162="North",1,0)</f>
        <v>0</v>
      </c>
      <c r="B163" s="5">
        <f>IF(Cleaned_Data!C162="South",1,0)</f>
        <v>1</v>
      </c>
      <c r="C163" s="15">
        <f>IF(Cleaned_Data!C162="East",1,0)</f>
        <v>0</v>
      </c>
      <c r="D163" s="6">
        <f>IF(Cleaned_Data!D162="Airport",1,0)</f>
        <v>0</v>
      </c>
      <c r="E163" s="5">
        <f>IF(Cleaned_Data!D162="High Street",1,0)</f>
        <v>1</v>
      </c>
      <c r="F163" s="7">
        <f>IF(Cleaned_Data!D162="Residential",1,0)</f>
        <v>0</v>
      </c>
    </row>
    <row r="164" spans="1:6">
      <c r="A164" s="6">
        <f>IF(Cleaned_Data!C163="North",1,0)</f>
        <v>0</v>
      </c>
      <c r="B164" s="5">
        <f>IF(Cleaned_Data!C163="South",1,0)</f>
        <v>1</v>
      </c>
      <c r="C164" s="15">
        <f>IF(Cleaned_Data!C163="East",1,0)</f>
        <v>0</v>
      </c>
      <c r="D164" s="6">
        <f>IF(Cleaned_Data!D163="Airport",1,0)</f>
        <v>0</v>
      </c>
      <c r="E164" s="5">
        <f>IF(Cleaned_Data!D163="High Street",1,0)</f>
        <v>1</v>
      </c>
      <c r="F164" s="7">
        <f>IF(Cleaned_Data!D163="Residential",1,0)</f>
        <v>0</v>
      </c>
    </row>
    <row r="165" spans="1:6">
      <c r="A165" s="6">
        <f>IF(Cleaned_Data!C164="North",1,0)</f>
        <v>0</v>
      </c>
      <c r="B165" s="5">
        <f>IF(Cleaned_Data!C164="South",1,0)</f>
        <v>1</v>
      </c>
      <c r="C165" s="15">
        <f>IF(Cleaned_Data!C164="East",1,0)</f>
        <v>0</v>
      </c>
      <c r="D165" s="6">
        <f>IF(Cleaned_Data!D164="Airport",1,0)</f>
        <v>0</v>
      </c>
      <c r="E165" s="5">
        <f>IF(Cleaned_Data!D164="High Street",1,0)</f>
        <v>1</v>
      </c>
      <c r="F165" s="7">
        <f>IF(Cleaned_Data!D164="Residential",1,0)</f>
        <v>0</v>
      </c>
    </row>
    <row r="166" spans="1:6">
      <c r="A166" s="6">
        <f>IF(Cleaned_Data!C165="North",1,0)</f>
        <v>0</v>
      </c>
      <c r="B166" s="5">
        <f>IF(Cleaned_Data!C165="South",1,0)</f>
        <v>1</v>
      </c>
      <c r="C166" s="15">
        <f>IF(Cleaned_Data!C165="East",1,0)</f>
        <v>0</v>
      </c>
      <c r="D166" s="6">
        <f>IF(Cleaned_Data!D165="Airport",1,0)</f>
        <v>0</v>
      </c>
      <c r="E166" s="5">
        <f>IF(Cleaned_Data!D165="High Street",1,0)</f>
        <v>1</v>
      </c>
      <c r="F166" s="7">
        <f>IF(Cleaned_Data!D165="Residential",1,0)</f>
        <v>0</v>
      </c>
    </row>
    <row r="167" spans="1:6">
      <c r="A167" s="6">
        <f>IF(Cleaned_Data!C166="North",1,0)</f>
        <v>1</v>
      </c>
      <c r="B167" s="5">
        <f>IF(Cleaned_Data!C166="South",1,0)</f>
        <v>0</v>
      </c>
      <c r="C167" s="15">
        <f>IF(Cleaned_Data!C166="East",1,0)</f>
        <v>0</v>
      </c>
      <c r="D167" s="6">
        <f>IF(Cleaned_Data!D166="Airport",1,0)</f>
        <v>0</v>
      </c>
      <c r="E167" s="5">
        <f>IF(Cleaned_Data!D166="High Street",1,0)</f>
        <v>0</v>
      </c>
      <c r="F167" s="7">
        <f>IF(Cleaned_Data!D166="Residential",1,0)</f>
        <v>0</v>
      </c>
    </row>
    <row r="168" spans="1:6">
      <c r="A168" s="6">
        <f>IF(Cleaned_Data!C167="North",1,0)</f>
        <v>1</v>
      </c>
      <c r="B168" s="5">
        <f>IF(Cleaned_Data!C167="South",1,0)</f>
        <v>0</v>
      </c>
      <c r="C168" s="15">
        <f>IF(Cleaned_Data!C167="East",1,0)</f>
        <v>0</v>
      </c>
      <c r="D168" s="6">
        <f>IF(Cleaned_Data!D167="Airport",1,0)</f>
        <v>0</v>
      </c>
      <c r="E168" s="5">
        <f>IF(Cleaned_Data!D167="High Street",1,0)</f>
        <v>0</v>
      </c>
      <c r="F168" s="7">
        <f>IF(Cleaned_Data!D167="Residential",1,0)</f>
        <v>0</v>
      </c>
    </row>
    <row r="169" spans="1:6">
      <c r="A169" s="6">
        <f>IF(Cleaned_Data!C168="North",1,0)</f>
        <v>1</v>
      </c>
      <c r="B169" s="5">
        <f>IF(Cleaned_Data!C168="South",1,0)</f>
        <v>0</v>
      </c>
      <c r="C169" s="15">
        <f>IF(Cleaned_Data!C168="East",1,0)</f>
        <v>0</v>
      </c>
      <c r="D169" s="6">
        <f>IF(Cleaned_Data!D168="Airport",1,0)</f>
        <v>0</v>
      </c>
      <c r="E169" s="5">
        <f>IF(Cleaned_Data!D168="High Street",1,0)</f>
        <v>0</v>
      </c>
      <c r="F169" s="7">
        <f>IF(Cleaned_Data!D168="Residential",1,0)</f>
        <v>0</v>
      </c>
    </row>
    <row r="170" spans="1:6">
      <c r="A170" s="6">
        <f>IF(Cleaned_Data!C169="North",1,0)</f>
        <v>1</v>
      </c>
      <c r="B170" s="5">
        <f>IF(Cleaned_Data!C169="South",1,0)</f>
        <v>0</v>
      </c>
      <c r="C170" s="15">
        <f>IF(Cleaned_Data!C169="East",1,0)</f>
        <v>0</v>
      </c>
      <c r="D170" s="6">
        <f>IF(Cleaned_Data!D169="Airport",1,0)</f>
        <v>0</v>
      </c>
      <c r="E170" s="5">
        <f>IF(Cleaned_Data!D169="High Street",1,0)</f>
        <v>0</v>
      </c>
      <c r="F170" s="7">
        <f>IF(Cleaned_Data!D169="Residential",1,0)</f>
        <v>0</v>
      </c>
    </row>
    <row r="171" spans="1:6">
      <c r="A171" s="6">
        <f>IF(Cleaned_Data!C170="North",1,0)</f>
        <v>0</v>
      </c>
      <c r="B171" s="5">
        <f>IF(Cleaned_Data!C170="South",1,0)</f>
        <v>0</v>
      </c>
      <c r="C171" s="15">
        <f>IF(Cleaned_Data!C170="East",1,0)</f>
        <v>1</v>
      </c>
      <c r="D171" s="6">
        <f>IF(Cleaned_Data!D170="Airport",1,0)</f>
        <v>0</v>
      </c>
      <c r="E171" s="5">
        <f>IF(Cleaned_Data!D170="High Street",1,0)</f>
        <v>0</v>
      </c>
      <c r="F171" s="7">
        <f>IF(Cleaned_Data!D170="Residential",1,0)</f>
        <v>1</v>
      </c>
    </row>
    <row r="172" spans="1:6">
      <c r="A172" s="6">
        <f>IF(Cleaned_Data!C171="North",1,0)</f>
        <v>0</v>
      </c>
      <c r="B172" s="5">
        <f>IF(Cleaned_Data!C171="South",1,0)</f>
        <v>0</v>
      </c>
      <c r="C172" s="15">
        <f>IF(Cleaned_Data!C171="East",1,0)</f>
        <v>1</v>
      </c>
      <c r="D172" s="6">
        <f>IF(Cleaned_Data!D171="Airport",1,0)</f>
        <v>0</v>
      </c>
      <c r="E172" s="5">
        <f>IF(Cleaned_Data!D171="High Street",1,0)</f>
        <v>0</v>
      </c>
      <c r="F172" s="7">
        <f>IF(Cleaned_Data!D171="Residential",1,0)</f>
        <v>1</v>
      </c>
    </row>
    <row r="173" spans="1:6">
      <c r="A173" s="6">
        <f>IF(Cleaned_Data!C172="North",1,0)</f>
        <v>0</v>
      </c>
      <c r="B173" s="5">
        <f>IF(Cleaned_Data!C172="South",1,0)</f>
        <v>0</v>
      </c>
      <c r="C173" s="15">
        <f>IF(Cleaned_Data!C172="East",1,0)</f>
        <v>1</v>
      </c>
      <c r="D173" s="6">
        <f>IF(Cleaned_Data!D172="Airport",1,0)</f>
        <v>0</v>
      </c>
      <c r="E173" s="5">
        <f>IF(Cleaned_Data!D172="High Street",1,0)</f>
        <v>0</v>
      </c>
      <c r="F173" s="7">
        <f>IF(Cleaned_Data!D172="Residential",1,0)</f>
        <v>1</v>
      </c>
    </row>
    <row r="174" spans="1:6">
      <c r="A174" s="6">
        <f>IF(Cleaned_Data!C173="North",1,0)</f>
        <v>0</v>
      </c>
      <c r="B174" s="5">
        <f>IF(Cleaned_Data!C173="South",1,0)</f>
        <v>0</v>
      </c>
      <c r="C174" s="15">
        <f>IF(Cleaned_Data!C173="East",1,0)</f>
        <v>1</v>
      </c>
      <c r="D174" s="6">
        <f>IF(Cleaned_Data!D173="Airport",1,0)</f>
        <v>0</v>
      </c>
      <c r="E174" s="5">
        <f>IF(Cleaned_Data!D173="High Street",1,0)</f>
        <v>0</v>
      </c>
      <c r="F174" s="7">
        <f>IF(Cleaned_Data!D173="Residential",1,0)</f>
        <v>1</v>
      </c>
    </row>
    <row r="175" spans="1:6">
      <c r="A175" s="6">
        <f>IF(Cleaned_Data!C174="North",1,0)</f>
        <v>0</v>
      </c>
      <c r="B175" s="5">
        <f>IF(Cleaned_Data!C174="South",1,0)</f>
        <v>0</v>
      </c>
      <c r="C175" s="15">
        <f>IF(Cleaned_Data!C174="East",1,0)</f>
        <v>1</v>
      </c>
      <c r="D175" s="6">
        <f>IF(Cleaned_Data!D174="Airport",1,0)</f>
        <v>0</v>
      </c>
      <c r="E175" s="5">
        <f>IF(Cleaned_Data!D174="High Street",1,0)</f>
        <v>0</v>
      </c>
      <c r="F175" s="7">
        <f>IF(Cleaned_Data!D174="Residential",1,0)</f>
        <v>1</v>
      </c>
    </row>
    <row r="176" spans="1:6">
      <c r="A176" s="6">
        <f>IF(Cleaned_Data!C175="North",1,0)</f>
        <v>0</v>
      </c>
      <c r="B176" s="5">
        <f>IF(Cleaned_Data!C175="South",1,0)</f>
        <v>0</v>
      </c>
      <c r="C176" s="15">
        <f>IF(Cleaned_Data!C175="East",1,0)</f>
        <v>1</v>
      </c>
      <c r="D176" s="6">
        <f>IF(Cleaned_Data!D175="Airport",1,0)</f>
        <v>0</v>
      </c>
      <c r="E176" s="5">
        <f>IF(Cleaned_Data!D175="High Street",1,0)</f>
        <v>0</v>
      </c>
      <c r="F176" s="7">
        <f>IF(Cleaned_Data!D175="Residential",1,0)</f>
        <v>1</v>
      </c>
    </row>
    <row r="177" spans="1:6">
      <c r="A177" s="6">
        <f>IF(Cleaned_Data!C176="North",1,0)</f>
        <v>0</v>
      </c>
      <c r="B177" s="5">
        <f>IF(Cleaned_Data!C176="South",1,0)</f>
        <v>0</v>
      </c>
      <c r="C177" s="15">
        <f>IF(Cleaned_Data!C176="East",1,0)</f>
        <v>1</v>
      </c>
      <c r="D177" s="6">
        <f>IF(Cleaned_Data!D176="Airport",1,0)</f>
        <v>0</v>
      </c>
      <c r="E177" s="5">
        <f>IF(Cleaned_Data!D176="High Street",1,0)</f>
        <v>0</v>
      </c>
      <c r="F177" s="7">
        <f>IF(Cleaned_Data!D176="Residential",1,0)</f>
        <v>1</v>
      </c>
    </row>
    <row r="178" spans="1:6">
      <c r="A178" s="6">
        <f>IF(Cleaned_Data!C177="North",1,0)</f>
        <v>0</v>
      </c>
      <c r="B178" s="5">
        <f>IF(Cleaned_Data!C177="South",1,0)</f>
        <v>0</v>
      </c>
      <c r="C178" s="15">
        <f>IF(Cleaned_Data!C177="East",1,0)</f>
        <v>1</v>
      </c>
      <c r="D178" s="6">
        <f>IF(Cleaned_Data!D177="Airport",1,0)</f>
        <v>0</v>
      </c>
      <c r="E178" s="5">
        <f>IF(Cleaned_Data!D177="High Street",1,0)</f>
        <v>0</v>
      </c>
      <c r="F178" s="7">
        <f>IF(Cleaned_Data!D177="Residential",1,0)</f>
        <v>1</v>
      </c>
    </row>
    <row r="179" spans="1:6">
      <c r="A179" s="6">
        <f>IF(Cleaned_Data!C178="North",1,0)</f>
        <v>0</v>
      </c>
      <c r="B179" s="5">
        <f>IF(Cleaned_Data!C178="South",1,0)</f>
        <v>0</v>
      </c>
      <c r="C179" s="15">
        <f>IF(Cleaned_Data!C178="East",1,0)</f>
        <v>0</v>
      </c>
      <c r="D179" s="6">
        <f>IF(Cleaned_Data!D178="Airport",1,0)</f>
        <v>1</v>
      </c>
      <c r="E179" s="5">
        <f>IF(Cleaned_Data!D178="High Street",1,0)</f>
        <v>0</v>
      </c>
      <c r="F179" s="7">
        <f>IF(Cleaned_Data!D178="Residential",1,0)</f>
        <v>0</v>
      </c>
    </row>
    <row r="180" spans="1:6">
      <c r="A180" s="6">
        <f>IF(Cleaned_Data!C179="North",1,0)</f>
        <v>0</v>
      </c>
      <c r="B180" s="5">
        <f>IF(Cleaned_Data!C179="South",1,0)</f>
        <v>0</v>
      </c>
      <c r="C180" s="15">
        <f>IF(Cleaned_Data!C179="East",1,0)</f>
        <v>0</v>
      </c>
      <c r="D180" s="6">
        <f>IF(Cleaned_Data!D179="Airport",1,0)</f>
        <v>1</v>
      </c>
      <c r="E180" s="5">
        <f>IF(Cleaned_Data!D179="High Street",1,0)</f>
        <v>0</v>
      </c>
      <c r="F180" s="7">
        <f>IF(Cleaned_Data!D179="Residential",1,0)</f>
        <v>0</v>
      </c>
    </row>
    <row r="181" spans="1:6">
      <c r="A181" s="6">
        <f>IF(Cleaned_Data!C180="North",1,0)</f>
        <v>0</v>
      </c>
      <c r="B181" s="5">
        <f>IF(Cleaned_Data!C180="South",1,0)</f>
        <v>0</v>
      </c>
      <c r="C181" s="15">
        <f>IF(Cleaned_Data!C180="East",1,0)</f>
        <v>0</v>
      </c>
      <c r="D181" s="6">
        <f>IF(Cleaned_Data!D180="Airport",1,0)</f>
        <v>1</v>
      </c>
      <c r="E181" s="5">
        <f>IF(Cleaned_Data!D180="High Street",1,0)</f>
        <v>0</v>
      </c>
      <c r="F181" s="7">
        <f>IF(Cleaned_Data!D180="Residential",1,0)</f>
        <v>0</v>
      </c>
    </row>
    <row r="182" spans="1:6">
      <c r="A182" s="6">
        <f>IF(Cleaned_Data!C181="North",1,0)</f>
        <v>0</v>
      </c>
      <c r="B182" s="5">
        <f>IF(Cleaned_Data!C181="South",1,0)</f>
        <v>0</v>
      </c>
      <c r="C182" s="15">
        <f>IF(Cleaned_Data!C181="East",1,0)</f>
        <v>0</v>
      </c>
      <c r="D182" s="6">
        <f>IF(Cleaned_Data!D181="Airport",1,0)</f>
        <v>1</v>
      </c>
      <c r="E182" s="5">
        <f>IF(Cleaned_Data!D181="High Street",1,0)</f>
        <v>0</v>
      </c>
      <c r="F182" s="7">
        <f>IF(Cleaned_Data!D181="Residential",1,0)</f>
        <v>0</v>
      </c>
    </row>
    <row r="183" spans="1:6">
      <c r="A183" s="6">
        <f>IF(Cleaned_Data!C182="North",1,0)</f>
        <v>0</v>
      </c>
      <c r="B183" s="5">
        <f>IF(Cleaned_Data!C182="South",1,0)</f>
        <v>0</v>
      </c>
      <c r="C183" s="15">
        <f>IF(Cleaned_Data!C182="East",1,0)</f>
        <v>0</v>
      </c>
      <c r="D183" s="6">
        <f>IF(Cleaned_Data!D182="Airport",1,0)</f>
        <v>0</v>
      </c>
      <c r="E183" s="5">
        <f>IF(Cleaned_Data!D182="High Street",1,0)</f>
        <v>0</v>
      </c>
      <c r="F183" s="7">
        <f>IF(Cleaned_Data!D182="Residential",1,0)</f>
        <v>1</v>
      </c>
    </row>
    <row r="184" spans="1:6">
      <c r="A184" s="6">
        <f>IF(Cleaned_Data!C183="North",1,0)</f>
        <v>0</v>
      </c>
      <c r="B184" s="5">
        <f>IF(Cleaned_Data!C183="South",1,0)</f>
        <v>0</v>
      </c>
      <c r="C184" s="15">
        <f>IF(Cleaned_Data!C183="East",1,0)</f>
        <v>0</v>
      </c>
      <c r="D184" s="6">
        <f>IF(Cleaned_Data!D183="Airport",1,0)</f>
        <v>0</v>
      </c>
      <c r="E184" s="5">
        <f>IF(Cleaned_Data!D183="High Street",1,0)</f>
        <v>0</v>
      </c>
      <c r="F184" s="7">
        <f>IF(Cleaned_Data!D183="Residential",1,0)</f>
        <v>1</v>
      </c>
    </row>
    <row r="185" spans="1:6">
      <c r="A185" s="6">
        <f>IF(Cleaned_Data!C184="North",1,0)</f>
        <v>0</v>
      </c>
      <c r="B185" s="5">
        <f>IF(Cleaned_Data!C184="South",1,0)</f>
        <v>0</v>
      </c>
      <c r="C185" s="15">
        <f>IF(Cleaned_Data!C184="East",1,0)</f>
        <v>0</v>
      </c>
      <c r="D185" s="6">
        <f>IF(Cleaned_Data!D184="Airport",1,0)</f>
        <v>0</v>
      </c>
      <c r="E185" s="5">
        <f>IF(Cleaned_Data!D184="High Street",1,0)</f>
        <v>0</v>
      </c>
      <c r="F185" s="7">
        <f>IF(Cleaned_Data!D184="Residential",1,0)</f>
        <v>1</v>
      </c>
    </row>
    <row r="186" spans="1:6">
      <c r="A186" s="6">
        <f>IF(Cleaned_Data!C185="North",1,0)</f>
        <v>0</v>
      </c>
      <c r="B186" s="5">
        <f>IF(Cleaned_Data!C185="South",1,0)</f>
        <v>0</v>
      </c>
      <c r="C186" s="15">
        <f>IF(Cleaned_Data!C185="East",1,0)</f>
        <v>0</v>
      </c>
      <c r="D186" s="6">
        <f>IF(Cleaned_Data!D185="Airport",1,0)</f>
        <v>0</v>
      </c>
      <c r="E186" s="5">
        <f>IF(Cleaned_Data!D185="High Street",1,0)</f>
        <v>0</v>
      </c>
      <c r="F186" s="7">
        <f>IF(Cleaned_Data!D185="Residential",1,0)</f>
        <v>1</v>
      </c>
    </row>
    <row r="187" spans="1:6">
      <c r="A187" s="6">
        <f>IF(Cleaned_Data!C186="North",1,0)</f>
        <v>1</v>
      </c>
      <c r="B187" s="5">
        <f>IF(Cleaned_Data!C186="South",1,0)</f>
        <v>0</v>
      </c>
      <c r="C187" s="15">
        <f>IF(Cleaned_Data!C186="East",1,0)</f>
        <v>0</v>
      </c>
      <c r="D187" s="6">
        <f>IF(Cleaned_Data!D186="Airport",1,0)</f>
        <v>0</v>
      </c>
      <c r="E187" s="5">
        <f>IF(Cleaned_Data!D186="High Street",1,0)</f>
        <v>1</v>
      </c>
      <c r="F187" s="7">
        <f>IF(Cleaned_Data!D186="Residential",1,0)</f>
        <v>0</v>
      </c>
    </row>
    <row r="188" spans="1:6">
      <c r="A188" s="6">
        <f>IF(Cleaned_Data!C187="North",1,0)</f>
        <v>1</v>
      </c>
      <c r="B188" s="5">
        <f>IF(Cleaned_Data!C187="South",1,0)</f>
        <v>0</v>
      </c>
      <c r="C188" s="15">
        <f>IF(Cleaned_Data!C187="East",1,0)</f>
        <v>0</v>
      </c>
      <c r="D188" s="6">
        <f>IF(Cleaned_Data!D187="Airport",1,0)</f>
        <v>0</v>
      </c>
      <c r="E188" s="5">
        <f>IF(Cleaned_Data!D187="High Street",1,0)</f>
        <v>1</v>
      </c>
      <c r="F188" s="7">
        <f>IF(Cleaned_Data!D187="Residential",1,0)</f>
        <v>0</v>
      </c>
    </row>
    <row r="189" spans="1:6">
      <c r="A189" s="6">
        <f>IF(Cleaned_Data!C188="North",1,0)</f>
        <v>1</v>
      </c>
      <c r="B189" s="5">
        <f>IF(Cleaned_Data!C188="South",1,0)</f>
        <v>0</v>
      </c>
      <c r="C189" s="15">
        <f>IF(Cleaned_Data!C188="East",1,0)</f>
        <v>0</v>
      </c>
      <c r="D189" s="6">
        <f>IF(Cleaned_Data!D188="Airport",1,0)</f>
        <v>0</v>
      </c>
      <c r="E189" s="5">
        <f>IF(Cleaned_Data!D188="High Street",1,0)</f>
        <v>1</v>
      </c>
      <c r="F189" s="7">
        <f>IF(Cleaned_Data!D188="Residential",1,0)</f>
        <v>0</v>
      </c>
    </row>
    <row r="190" spans="1:6">
      <c r="A190" s="6">
        <f>IF(Cleaned_Data!C189="North",1,0)</f>
        <v>1</v>
      </c>
      <c r="B190" s="5">
        <f>IF(Cleaned_Data!C189="South",1,0)</f>
        <v>0</v>
      </c>
      <c r="C190" s="15">
        <f>IF(Cleaned_Data!C189="East",1,0)</f>
        <v>0</v>
      </c>
      <c r="D190" s="6">
        <f>IF(Cleaned_Data!D189="Airport",1,0)</f>
        <v>0</v>
      </c>
      <c r="E190" s="5">
        <f>IF(Cleaned_Data!D189="High Street",1,0)</f>
        <v>1</v>
      </c>
      <c r="F190" s="7">
        <f>IF(Cleaned_Data!D189="Residential",1,0)</f>
        <v>0</v>
      </c>
    </row>
    <row r="191" spans="1:6">
      <c r="A191" s="6">
        <f>IF(Cleaned_Data!C190="North",1,0)</f>
        <v>0</v>
      </c>
      <c r="B191" s="5">
        <f>IF(Cleaned_Data!C190="South",1,0)</f>
        <v>0</v>
      </c>
      <c r="C191" s="15">
        <f>IF(Cleaned_Data!C190="East",1,0)</f>
        <v>1</v>
      </c>
      <c r="D191" s="6">
        <f>IF(Cleaned_Data!D190="Airport",1,0)</f>
        <v>0</v>
      </c>
      <c r="E191" s="5">
        <f>IF(Cleaned_Data!D190="High Street",1,0)</f>
        <v>1</v>
      </c>
      <c r="F191" s="7">
        <f>IF(Cleaned_Data!D190="Residential",1,0)</f>
        <v>0</v>
      </c>
    </row>
    <row r="192" spans="1:6">
      <c r="A192" s="6">
        <f>IF(Cleaned_Data!C191="North",1,0)</f>
        <v>0</v>
      </c>
      <c r="B192" s="5">
        <f>IF(Cleaned_Data!C191="South",1,0)</f>
        <v>0</v>
      </c>
      <c r="C192" s="15">
        <f>IF(Cleaned_Data!C191="East",1,0)</f>
        <v>1</v>
      </c>
      <c r="D192" s="6">
        <f>IF(Cleaned_Data!D191="Airport",1,0)</f>
        <v>0</v>
      </c>
      <c r="E192" s="5">
        <f>IF(Cleaned_Data!D191="High Street",1,0)</f>
        <v>1</v>
      </c>
      <c r="F192" s="7">
        <f>IF(Cleaned_Data!D191="Residential",1,0)</f>
        <v>0</v>
      </c>
    </row>
    <row r="193" spans="1:6">
      <c r="A193" s="6">
        <f>IF(Cleaned_Data!C192="North",1,0)</f>
        <v>0</v>
      </c>
      <c r="B193" s="5">
        <f>IF(Cleaned_Data!C192="South",1,0)</f>
        <v>0</v>
      </c>
      <c r="C193" s="15">
        <f>IF(Cleaned_Data!C192="East",1,0)</f>
        <v>1</v>
      </c>
      <c r="D193" s="6">
        <f>IF(Cleaned_Data!D192="Airport",1,0)</f>
        <v>0</v>
      </c>
      <c r="E193" s="5">
        <f>IF(Cleaned_Data!D192="High Street",1,0)</f>
        <v>1</v>
      </c>
      <c r="F193" s="7">
        <f>IF(Cleaned_Data!D192="Residential",1,0)</f>
        <v>0</v>
      </c>
    </row>
    <row r="194" spans="1:6">
      <c r="A194" s="6">
        <f>IF(Cleaned_Data!C193="North",1,0)</f>
        <v>0</v>
      </c>
      <c r="B194" s="5">
        <f>IF(Cleaned_Data!C193="South",1,0)</f>
        <v>0</v>
      </c>
      <c r="C194" s="15">
        <f>IF(Cleaned_Data!C193="East",1,0)</f>
        <v>1</v>
      </c>
      <c r="D194" s="6">
        <f>IF(Cleaned_Data!D193="Airport",1,0)</f>
        <v>0</v>
      </c>
      <c r="E194" s="5">
        <f>IF(Cleaned_Data!D193="High Street",1,0)</f>
        <v>1</v>
      </c>
      <c r="F194" s="7">
        <f>IF(Cleaned_Data!D193="Residential",1,0)</f>
        <v>0</v>
      </c>
    </row>
    <row r="195" spans="1:6">
      <c r="A195" s="6">
        <f>IF(Cleaned_Data!C194="North",1,0)</f>
        <v>0</v>
      </c>
      <c r="B195" s="5">
        <f>IF(Cleaned_Data!C194="South",1,0)</f>
        <v>0</v>
      </c>
      <c r="C195" s="15">
        <f>IF(Cleaned_Data!C194="East",1,0)</f>
        <v>0</v>
      </c>
      <c r="D195" s="6">
        <f>IF(Cleaned_Data!D194="Airport",1,0)</f>
        <v>0</v>
      </c>
      <c r="E195" s="5">
        <f>IF(Cleaned_Data!D194="High Street",1,0)</f>
        <v>0</v>
      </c>
      <c r="F195" s="7">
        <f>IF(Cleaned_Data!D194="Residential",1,0)</f>
        <v>1</v>
      </c>
    </row>
    <row r="196" spans="1:6">
      <c r="A196" s="6">
        <f>IF(Cleaned_Data!C195="North",1,0)</f>
        <v>0</v>
      </c>
      <c r="B196" s="5">
        <f>IF(Cleaned_Data!C195="South",1,0)</f>
        <v>0</v>
      </c>
      <c r="C196" s="15">
        <f>IF(Cleaned_Data!C195="East",1,0)</f>
        <v>0</v>
      </c>
      <c r="D196" s="6">
        <f>IF(Cleaned_Data!D195="Airport",1,0)</f>
        <v>0</v>
      </c>
      <c r="E196" s="5">
        <f>IF(Cleaned_Data!D195="High Street",1,0)</f>
        <v>0</v>
      </c>
      <c r="F196" s="7">
        <f>IF(Cleaned_Data!D195="Residential",1,0)</f>
        <v>1</v>
      </c>
    </row>
    <row r="197" spans="1:6">
      <c r="A197" s="6">
        <f>IF(Cleaned_Data!C196="North",1,0)</f>
        <v>0</v>
      </c>
      <c r="B197" s="5">
        <f>IF(Cleaned_Data!C196="South",1,0)</f>
        <v>0</v>
      </c>
      <c r="C197" s="15">
        <f>IF(Cleaned_Data!C196="East",1,0)</f>
        <v>0</v>
      </c>
      <c r="D197" s="6">
        <f>IF(Cleaned_Data!D196="Airport",1,0)</f>
        <v>0</v>
      </c>
      <c r="E197" s="5">
        <f>IF(Cleaned_Data!D196="High Street",1,0)</f>
        <v>0</v>
      </c>
      <c r="F197" s="7">
        <f>IF(Cleaned_Data!D196="Residential",1,0)</f>
        <v>1</v>
      </c>
    </row>
    <row r="198" spans="1:6">
      <c r="A198" s="6">
        <f>IF(Cleaned_Data!C197="North",1,0)</f>
        <v>0</v>
      </c>
      <c r="B198" s="5">
        <f>IF(Cleaned_Data!C197="South",1,0)</f>
        <v>0</v>
      </c>
      <c r="C198" s="15">
        <f>IF(Cleaned_Data!C197="East",1,0)</f>
        <v>0</v>
      </c>
      <c r="D198" s="6">
        <f>IF(Cleaned_Data!D197="Airport",1,0)</f>
        <v>0</v>
      </c>
      <c r="E198" s="5">
        <f>IF(Cleaned_Data!D197="High Street",1,0)</f>
        <v>0</v>
      </c>
      <c r="F198" s="7">
        <f>IF(Cleaned_Data!D197="Residential",1,0)</f>
        <v>1</v>
      </c>
    </row>
    <row r="199" spans="1:6">
      <c r="A199" s="6">
        <f>IF(Cleaned_Data!C198="North",1,0)</f>
        <v>1</v>
      </c>
      <c r="B199" s="5">
        <f>IF(Cleaned_Data!C198="South",1,0)</f>
        <v>0</v>
      </c>
      <c r="C199" s="15">
        <f>IF(Cleaned_Data!C198="East",1,0)</f>
        <v>0</v>
      </c>
      <c r="D199" s="6">
        <f>IF(Cleaned_Data!D198="Airport",1,0)</f>
        <v>0</v>
      </c>
      <c r="E199" s="5">
        <f>IF(Cleaned_Data!D198="High Street",1,0)</f>
        <v>0</v>
      </c>
      <c r="F199" s="7">
        <f>IF(Cleaned_Data!D198="Residential",1,0)</f>
        <v>1</v>
      </c>
    </row>
    <row r="200" spans="1:6">
      <c r="A200" s="6">
        <f>IF(Cleaned_Data!C199="North",1,0)</f>
        <v>1</v>
      </c>
      <c r="B200" s="5">
        <f>IF(Cleaned_Data!C199="South",1,0)</f>
        <v>0</v>
      </c>
      <c r="C200" s="15">
        <f>IF(Cleaned_Data!C199="East",1,0)</f>
        <v>0</v>
      </c>
      <c r="D200" s="6">
        <f>IF(Cleaned_Data!D199="Airport",1,0)</f>
        <v>0</v>
      </c>
      <c r="E200" s="5">
        <f>IF(Cleaned_Data!D199="High Street",1,0)</f>
        <v>0</v>
      </c>
      <c r="F200" s="7">
        <f>IF(Cleaned_Data!D199="Residential",1,0)</f>
        <v>1</v>
      </c>
    </row>
    <row r="201" spans="1:6">
      <c r="A201" s="6">
        <f>IF(Cleaned_Data!C200="North",1,0)</f>
        <v>1</v>
      </c>
      <c r="B201" s="5">
        <f>IF(Cleaned_Data!C200="South",1,0)</f>
        <v>0</v>
      </c>
      <c r="C201" s="15">
        <f>IF(Cleaned_Data!C200="East",1,0)</f>
        <v>0</v>
      </c>
      <c r="D201" s="6">
        <f>IF(Cleaned_Data!D200="Airport",1,0)</f>
        <v>0</v>
      </c>
      <c r="E201" s="5">
        <f>IF(Cleaned_Data!D200="High Street",1,0)</f>
        <v>0</v>
      </c>
      <c r="F201" s="7">
        <f>IF(Cleaned_Data!D200="Residential",1,0)</f>
        <v>1</v>
      </c>
    </row>
    <row r="202" spans="1:6">
      <c r="A202" s="6">
        <f>IF(Cleaned_Data!C201="North",1,0)</f>
        <v>1</v>
      </c>
      <c r="B202" s="5">
        <f>IF(Cleaned_Data!C201="South",1,0)</f>
        <v>0</v>
      </c>
      <c r="C202" s="15">
        <f>IF(Cleaned_Data!C201="East",1,0)</f>
        <v>0</v>
      </c>
      <c r="D202" s="6">
        <f>IF(Cleaned_Data!D201="Airport",1,0)</f>
        <v>0</v>
      </c>
      <c r="E202" s="5">
        <f>IF(Cleaned_Data!D201="High Street",1,0)</f>
        <v>0</v>
      </c>
      <c r="F202" s="7">
        <f>IF(Cleaned_Data!D201="Residential",1,0)</f>
        <v>1</v>
      </c>
    </row>
    <row r="203" spans="1:6">
      <c r="A203" s="6">
        <f>IF(Cleaned_Data!C202="North",1,0)</f>
        <v>0</v>
      </c>
      <c r="B203" s="5">
        <f>IF(Cleaned_Data!C202="South",1,0)</f>
        <v>0</v>
      </c>
      <c r="C203" s="15">
        <f>IF(Cleaned_Data!C202="East",1,0)</f>
        <v>1</v>
      </c>
      <c r="D203" s="6">
        <f>IF(Cleaned_Data!D202="Airport",1,0)</f>
        <v>1</v>
      </c>
      <c r="E203" s="5">
        <f>IF(Cleaned_Data!D202="High Street",1,0)</f>
        <v>0</v>
      </c>
      <c r="F203" s="7">
        <f>IF(Cleaned_Data!D202="Residential",1,0)</f>
        <v>0</v>
      </c>
    </row>
    <row r="204" spans="1:6">
      <c r="A204" s="6">
        <f>IF(Cleaned_Data!C203="North",1,0)</f>
        <v>0</v>
      </c>
      <c r="B204" s="5">
        <f>IF(Cleaned_Data!C203="South",1,0)</f>
        <v>0</v>
      </c>
      <c r="C204" s="15">
        <f>IF(Cleaned_Data!C203="East",1,0)</f>
        <v>1</v>
      </c>
      <c r="D204" s="6">
        <f>IF(Cleaned_Data!D203="Airport",1,0)</f>
        <v>1</v>
      </c>
      <c r="E204" s="5">
        <f>IF(Cleaned_Data!D203="High Street",1,0)</f>
        <v>0</v>
      </c>
      <c r="F204" s="7">
        <f>IF(Cleaned_Data!D203="Residential",1,0)</f>
        <v>0</v>
      </c>
    </row>
    <row r="205" spans="1:6">
      <c r="A205" s="6">
        <f>IF(Cleaned_Data!C204="North",1,0)</f>
        <v>0</v>
      </c>
      <c r="B205" s="5">
        <f>IF(Cleaned_Data!C204="South",1,0)</f>
        <v>0</v>
      </c>
      <c r="C205" s="15">
        <f>IF(Cleaned_Data!C204="East",1,0)</f>
        <v>1</v>
      </c>
      <c r="D205" s="6">
        <f>IF(Cleaned_Data!D204="Airport",1,0)</f>
        <v>1</v>
      </c>
      <c r="E205" s="5">
        <f>IF(Cleaned_Data!D204="High Street",1,0)</f>
        <v>0</v>
      </c>
      <c r="F205" s="7">
        <f>IF(Cleaned_Data!D204="Residential",1,0)</f>
        <v>0</v>
      </c>
    </row>
    <row r="206" spans="1:6">
      <c r="A206" s="6">
        <f>IF(Cleaned_Data!C205="North",1,0)</f>
        <v>0</v>
      </c>
      <c r="B206" s="5">
        <f>IF(Cleaned_Data!C205="South",1,0)</f>
        <v>0</v>
      </c>
      <c r="C206" s="15">
        <f>IF(Cleaned_Data!C205="East",1,0)</f>
        <v>1</v>
      </c>
      <c r="D206" s="6">
        <f>IF(Cleaned_Data!D205="Airport",1,0)</f>
        <v>1</v>
      </c>
      <c r="E206" s="5">
        <f>IF(Cleaned_Data!D205="High Street",1,0)</f>
        <v>0</v>
      </c>
      <c r="F206" s="7">
        <f>IF(Cleaned_Data!D205="Residential",1,0)</f>
        <v>0</v>
      </c>
    </row>
    <row r="207" spans="1:6">
      <c r="A207" s="6">
        <f>IF(Cleaned_Data!C206="North",1,0)</f>
        <v>0</v>
      </c>
      <c r="B207" s="5">
        <f>IF(Cleaned_Data!C206="South",1,0)</f>
        <v>0</v>
      </c>
      <c r="C207" s="15">
        <f>IF(Cleaned_Data!C206="East",1,0)</f>
        <v>1</v>
      </c>
      <c r="D207" s="6">
        <f>IF(Cleaned_Data!D206="Airport",1,0)</f>
        <v>0</v>
      </c>
      <c r="E207" s="5">
        <f>IF(Cleaned_Data!D206="High Street",1,0)</f>
        <v>0</v>
      </c>
      <c r="F207" s="7">
        <f>IF(Cleaned_Data!D206="Residential",1,0)</f>
        <v>0</v>
      </c>
    </row>
    <row r="208" spans="1:6">
      <c r="A208" s="6">
        <f>IF(Cleaned_Data!C207="North",1,0)</f>
        <v>0</v>
      </c>
      <c r="B208" s="5">
        <f>IF(Cleaned_Data!C207="South",1,0)</f>
        <v>0</v>
      </c>
      <c r="C208" s="15">
        <f>IF(Cleaned_Data!C207="East",1,0)</f>
        <v>1</v>
      </c>
      <c r="D208" s="6">
        <f>IF(Cleaned_Data!D207="Airport",1,0)</f>
        <v>0</v>
      </c>
      <c r="E208" s="5">
        <f>IF(Cleaned_Data!D207="High Street",1,0)</f>
        <v>0</v>
      </c>
      <c r="F208" s="7">
        <f>IF(Cleaned_Data!D207="Residential",1,0)</f>
        <v>0</v>
      </c>
    </row>
    <row r="209" spans="1:6">
      <c r="A209" s="6">
        <f>IF(Cleaned_Data!C208="North",1,0)</f>
        <v>0</v>
      </c>
      <c r="B209" s="5">
        <f>IF(Cleaned_Data!C208="South",1,0)</f>
        <v>0</v>
      </c>
      <c r="C209" s="15">
        <f>IF(Cleaned_Data!C208="East",1,0)</f>
        <v>1</v>
      </c>
      <c r="D209" s="6">
        <f>IF(Cleaned_Data!D208="Airport",1,0)</f>
        <v>0</v>
      </c>
      <c r="E209" s="5">
        <f>IF(Cleaned_Data!D208="High Street",1,0)</f>
        <v>0</v>
      </c>
      <c r="F209" s="7">
        <f>IF(Cleaned_Data!D208="Residential",1,0)</f>
        <v>0</v>
      </c>
    </row>
    <row r="210" spans="1:6">
      <c r="A210" s="6">
        <f>IF(Cleaned_Data!C209="North",1,0)</f>
        <v>0</v>
      </c>
      <c r="B210" s="5">
        <f>IF(Cleaned_Data!C209="South",1,0)</f>
        <v>0</v>
      </c>
      <c r="C210" s="15">
        <f>IF(Cleaned_Data!C209="East",1,0)</f>
        <v>1</v>
      </c>
      <c r="D210" s="6">
        <f>IF(Cleaned_Data!D209="Airport",1,0)</f>
        <v>0</v>
      </c>
      <c r="E210" s="5">
        <f>IF(Cleaned_Data!D209="High Street",1,0)</f>
        <v>0</v>
      </c>
      <c r="F210" s="7">
        <f>IF(Cleaned_Data!D209="Residential",1,0)</f>
        <v>0</v>
      </c>
    </row>
    <row r="211" spans="1:6">
      <c r="A211" s="6">
        <f>IF(Cleaned_Data!C210="North",1,0)</f>
        <v>0</v>
      </c>
      <c r="B211" s="5">
        <f>IF(Cleaned_Data!C210="South",1,0)</f>
        <v>0</v>
      </c>
      <c r="C211" s="15">
        <f>IF(Cleaned_Data!C210="East",1,0)</f>
        <v>1</v>
      </c>
      <c r="D211" s="6">
        <f>IF(Cleaned_Data!D210="Airport",1,0)</f>
        <v>0</v>
      </c>
      <c r="E211" s="5">
        <f>IF(Cleaned_Data!D210="High Street",1,0)</f>
        <v>1</v>
      </c>
      <c r="F211" s="7">
        <f>IF(Cleaned_Data!D210="Residential",1,0)</f>
        <v>0</v>
      </c>
    </row>
    <row r="212" spans="1:6">
      <c r="A212" s="6">
        <f>IF(Cleaned_Data!C211="North",1,0)</f>
        <v>0</v>
      </c>
      <c r="B212" s="5">
        <f>IF(Cleaned_Data!C211="South",1,0)</f>
        <v>0</v>
      </c>
      <c r="C212" s="15">
        <f>IF(Cleaned_Data!C211="East",1,0)</f>
        <v>1</v>
      </c>
      <c r="D212" s="6">
        <f>IF(Cleaned_Data!D211="Airport",1,0)</f>
        <v>0</v>
      </c>
      <c r="E212" s="5">
        <f>IF(Cleaned_Data!D211="High Street",1,0)</f>
        <v>1</v>
      </c>
      <c r="F212" s="7">
        <f>IF(Cleaned_Data!D211="Residential",1,0)</f>
        <v>0</v>
      </c>
    </row>
    <row r="213" spans="1:6">
      <c r="A213" s="6">
        <f>IF(Cleaned_Data!C212="North",1,0)</f>
        <v>0</v>
      </c>
      <c r="B213" s="5">
        <f>IF(Cleaned_Data!C212="South",1,0)</f>
        <v>0</v>
      </c>
      <c r="C213" s="15">
        <f>IF(Cleaned_Data!C212="East",1,0)</f>
        <v>1</v>
      </c>
      <c r="D213" s="6">
        <f>IF(Cleaned_Data!D212="Airport",1,0)</f>
        <v>0</v>
      </c>
      <c r="E213" s="5">
        <f>IF(Cleaned_Data!D212="High Street",1,0)</f>
        <v>1</v>
      </c>
      <c r="F213" s="7">
        <f>IF(Cleaned_Data!D212="Residential",1,0)</f>
        <v>0</v>
      </c>
    </row>
    <row r="214" spans="1:6">
      <c r="A214" s="6">
        <f>IF(Cleaned_Data!C213="North",1,0)</f>
        <v>0</v>
      </c>
      <c r="B214" s="5">
        <f>IF(Cleaned_Data!C213="South",1,0)</f>
        <v>0</v>
      </c>
      <c r="C214" s="15">
        <f>IF(Cleaned_Data!C213="East",1,0)</f>
        <v>1</v>
      </c>
      <c r="D214" s="6">
        <f>IF(Cleaned_Data!D213="Airport",1,0)</f>
        <v>0</v>
      </c>
      <c r="E214" s="5">
        <f>IF(Cleaned_Data!D213="High Street",1,0)</f>
        <v>1</v>
      </c>
      <c r="F214" s="7">
        <f>IF(Cleaned_Data!D213="Residential",1,0)</f>
        <v>0</v>
      </c>
    </row>
    <row r="215" spans="1:6">
      <c r="A215" s="6">
        <f>IF(Cleaned_Data!C214="North",1,0)</f>
        <v>0</v>
      </c>
      <c r="B215" s="5">
        <f>IF(Cleaned_Data!C214="South",1,0)</f>
        <v>0</v>
      </c>
      <c r="C215" s="15">
        <f>IF(Cleaned_Data!C214="East",1,0)</f>
        <v>0</v>
      </c>
      <c r="D215" s="6">
        <f>IF(Cleaned_Data!D214="Airport",1,0)</f>
        <v>0</v>
      </c>
      <c r="E215" s="5">
        <f>IF(Cleaned_Data!D214="High Street",1,0)</f>
        <v>0</v>
      </c>
      <c r="F215" s="7">
        <f>IF(Cleaned_Data!D214="Residential",1,0)</f>
        <v>1</v>
      </c>
    </row>
    <row r="216" spans="1:6">
      <c r="A216" s="6">
        <f>IF(Cleaned_Data!C215="North",1,0)</f>
        <v>0</v>
      </c>
      <c r="B216" s="5">
        <f>IF(Cleaned_Data!C215="South",1,0)</f>
        <v>0</v>
      </c>
      <c r="C216" s="15">
        <f>IF(Cleaned_Data!C215="East",1,0)</f>
        <v>0</v>
      </c>
      <c r="D216" s="6">
        <f>IF(Cleaned_Data!D215="Airport",1,0)</f>
        <v>0</v>
      </c>
      <c r="E216" s="5">
        <f>IF(Cleaned_Data!D215="High Street",1,0)</f>
        <v>0</v>
      </c>
      <c r="F216" s="7">
        <f>IF(Cleaned_Data!D215="Residential",1,0)</f>
        <v>1</v>
      </c>
    </row>
    <row r="217" spans="1:6">
      <c r="A217" s="6">
        <f>IF(Cleaned_Data!C216="North",1,0)</f>
        <v>0</v>
      </c>
      <c r="B217" s="5">
        <f>IF(Cleaned_Data!C216="South",1,0)</f>
        <v>0</v>
      </c>
      <c r="C217" s="15">
        <f>IF(Cleaned_Data!C216="East",1,0)</f>
        <v>0</v>
      </c>
      <c r="D217" s="6">
        <f>IF(Cleaned_Data!D216="Airport",1,0)</f>
        <v>0</v>
      </c>
      <c r="E217" s="5">
        <f>IF(Cleaned_Data!D216="High Street",1,0)</f>
        <v>0</v>
      </c>
      <c r="F217" s="7">
        <f>IF(Cleaned_Data!D216="Residential",1,0)</f>
        <v>1</v>
      </c>
    </row>
    <row r="218" spans="1:6">
      <c r="A218" s="6">
        <f>IF(Cleaned_Data!C217="North",1,0)</f>
        <v>0</v>
      </c>
      <c r="B218" s="5">
        <f>IF(Cleaned_Data!C217="South",1,0)</f>
        <v>0</v>
      </c>
      <c r="C218" s="15">
        <f>IF(Cleaned_Data!C217="East",1,0)</f>
        <v>0</v>
      </c>
      <c r="D218" s="6">
        <f>IF(Cleaned_Data!D217="Airport",1,0)</f>
        <v>0</v>
      </c>
      <c r="E218" s="5">
        <f>IF(Cleaned_Data!D217="High Street",1,0)</f>
        <v>0</v>
      </c>
      <c r="F218" s="7">
        <f>IF(Cleaned_Data!D217="Residential",1,0)</f>
        <v>1</v>
      </c>
    </row>
    <row r="219" spans="1:6">
      <c r="A219" s="6">
        <f>IF(Cleaned_Data!C218="North",1,0)</f>
        <v>1</v>
      </c>
      <c r="B219" s="5">
        <f>IF(Cleaned_Data!C218="South",1,0)</f>
        <v>0</v>
      </c>
      <c r="C219" s="15">
        <f>IF(Cleaned_Data!C218="East",1,0)</f>
        <v>0</v>
      </c>
      <c r="D219" s="6">
        <f>IF(Cleaned_Data!D218="Airport",1,0)</f>
        <v>1</v>
      </c>
      <c r="E219" s="5">
        <f>IF(Cleaned_Data!D218="High Street",1,0)</f>
        <v>0</v>
      </c>
      <c r="F219" s="7">
        <f>IF(Cleaned_Data!D218="Residential",1,0)</f>
        <v>0</v>
      </c>
    </row>
    <row r="220" spans="1:6">
      <c r="A220" s="6">
        <f>IF(Cleaned_Data!C219="North",1,0)</f>
        <v>1</v>
      </c>
      <c r="B220" s="5">
        <f>IF(Cleaned_Data!C219="South",1,0)</f>
        <v>0</v>
      </c>
      <c r="C220" s="15">
        <f>IF(Cleaned_Data!C219="East",1,0)</f>
        <v>0</v>
      </c>
      <c r="D220" s="6">
        <f>IF(Cleaned_Data!D219="Airport",1,0)</f>
        <v>1</v>
      </c>
      <c r="E220" s="5">
        <f>IF(Cleaned_Data!D219="High Street",1,0)</f>
        <v>0</v>
      </c>
      <c r="F220" s="7">
        <f>IF(Cleaned_Data!D219="Residential",1,0)</f>
        <v>0</v>
      </c>
    </row>
    <row r="221" spans="1:6">
      <c r="A221" s="6">
        <f>IF(Cleaned_Data!C220="North",1,0)</f>
        <v>1</v>
      </c>
      <c r="B221" s="5">
        <f>IF(Cleaned_Data!C220="South",1,0)</f>
        <v>0</v>
      </c>
      <c r="C221" s="15">
        <f>IF(Cleaned_Data!C220="East",1,0)</f>
        <v>0</v>
      </c>
      <c r="D221" s="6">
        <f>IF(Cleaned_Data!D220="Airport",1,0)</f>
        <v>1</v>
      </c>
      <c r="E221" s="5">
        <f>IF(Cleaned_Data!D220="High Street",1,0)</f>
        <v>0</v>
      </c>
      <c r="F221" s="7">
        <f>IF(Cleaned_Data!D220="Residential",1,0)</f>
        <v>0</v>
      </c>
    </row>
    <row r="222" spans="1:6">
      <c r="A222" s="6">
        <f>IF(Cleaned_Data!C221="North",1,0)</f>
        <v>1</v>
      </c>
      <c r="B222" s="5">
        <f>IF(Cleaned_Data!C221="South",1,0)</f>
        <v>0</v>
      </c>
      <c r="C222" s="15">
        <f>IF(Cleaned_Data!C221="East",1,0)</f>
        <v>0</v>
      </c>
      <c r="D222" s="6">
        <f>IF(Cleaned_Data!D221="Airport",1,0)</f>
        <v>1</v>
      </c>
      <c r="E222" s="5">
        <f>IF(Cleaned_Data!D221="High Street",1,0)</f>
        <v>0</v>
      </c>
      <c r="F222" s="7">
        <f>IF(Cleaned_Data!D221="Residential",1,0)</f>
        <v>0</v>
      </c>
    </row>
    <row r="223" spans="1:6">
      <c r="A223" s="6">
        <f>IF(Cleaned_Data!C222="North",1,0)</f>
        <v>0</v>
      </c>
      <c r="B223" s="5">
        <f>IF(Cleaned_Data!C222="South",1,0)</f>
        <v>0</v>
      </c>
      <c r="C223" s="15">
        <f>IF(Cleaned_Data!C222="East",1,0)</f>
        <v>1</v>
      </c>
      <c r="D223" s="6">
        <f>IF(Cleaned_Data!D222="Airport",1,0)</f>
        <v>0</v>
      </c>
      <c r="E223" s="5">
        <f>IF(Cleaned_Data!D222="High Street",1,0)</f>
        <v>1</v>
      </c>
      <c r="F223" s="7">
        <f>IF(Cleaned_Data!D222="Residential",1,0)</f>
        <v>0</v>
      </c>
    </row>
    <row r="224" spans="1:6">
      <c r="A224" s="6">
        <f>IF(Cleaned_Data!C223="North",1,0)</f>
        <v>0</v>
      </c>
      <c r="B224" s="5">
        <f>IF(Cleaned_Data!C223="South",1,0)</f>
        <v>0</v>
      </c>
      <c r="C224" s="15">
        <f>IF(Cleaned_Data!C223="East",1,0)</f>
        <v>1</v>
      </c>
      <c r="D224" s="6">
        <f>IF(Cleaned_Data!D223="Airport",1,0)</f>
        <v>0</v>
      </c>
      <c r="E224" s="5">
        <f>IF(Cleaned_Data!D223="High Street",1,0)</f>
        <v>1</v>
      </c>
      <c r="F224" s="7">
        <f>IF(Cleaned_Data!D223="Residential",1,0)</f>
        <v>0</v>
      </c>
    </row>
    <row r="225" spans="1:6">
      <c r="A225" s="6">
        <f>IF(Cleaned_Data!C224="North",1,0)</f>
        <v>0</v>
      </c>
      <c r="B225" s="5">
        <f>IF(Cleaned_Data!C224="South",1,0)</f>
        <v>0</v>
      </c>
      <c r="C225" s="15">
        <f>IF(Cleaned_Data!C224="East",1,0)</f>
        <v>1</v>
      </c>
      <c r="D225" s="6">
        <f>IF(Cleaned_Data!D224="Airport",1,0)</f>
        <v>0</v>
      </c>
      <c r="E225" s="5">
        <f>IF(Cleaned_Data!D224="High Street",1,0)</f>
        <v>1</v>
      </c>
      <c r="F225" s="7">
        <f>IF(Cleaned_Data!D224="Residential",1,0)</f>
        <v>0</v>
      </c>
    </row>
    <row r="226" spans="1:6">
      <c r="A226" s="6">
        <f>IF(Cleaned_Data!C225="North",1,0)</f>
        <v>0</v>
      </c>
      <c r="B226" s="5">
        <f>IF(Cleaned_Data!C225="South",1,0)</f>
        <v>0</v>
      </c>
      <c r="C226" s="15">
        <f>IF(Cleaned_Data!C225="East",1,0)</f>
        <v>1</v>
      </c>
      <c r="D226" s="6">
        <f>IF(Cleaned_Data!D225="Airport",1,0)</f>
        <v>0</v>
      </c>
      <c r="E226" s="5">
        <f>IF(Cleaned_Data!D225="High Street",1,0)</f>
        <v>1</v>
      </c>
      <c r="F226" s="7">
        <f>IF(Cleaned_Data!D225="Residential",1,0)</f>
        <v>0</v>
      </c>
    </row>
    <row r="227" spans="1:6">
      <c r="A227" s="6">
        <f>IF(Cleaned_Data!C226="North",1,0)</f>
        <v>0</v>
      </c>
      <c r="B227" s="5">
        <f>IF(Cleaned_Data!C226="South",1,0)</f>
        <v>0</v>
      </c>
      <c r="C227" s="15">
        <f>IF(Cleaned_Data!C226="East",1,0)</f>
        <v>1</v>
      </c>
      <c r="D227" s="6">
        <f>IF(Cleaned_Data!D226="Airport",1,0)</f>
        <v>0</v>
      </c>
      <c r="E227" s="5">
        <f>IF(Cleaned_Data!D226="High Street",1,0)</f>
        <v>0</v>
      </c>
      <c r="F227" s="7">
        <f>IF(Cleaned_Data!D226="Residential",1,0)</f>
        <v>0</v>
      </c>
    </row>
    <row r="228" spans="1:6">
      <c r="A228" s="6">
        <f>IF(Cleaned_Data!C227="North",1,0)</f>
        <v>0</v>
      </c>
      <c r="B228" s="5">
        <f>IF(Cleaned_Data!C227="South",1,0)</f>
        <v>0</v>
      </c>
      <c r="C228" s="15">
        <f>IF(Cleaned_Data!C227="East",1,0)</f>
        <v>1</v>
      </c>
      <c r="D228" s="6">
        <f>IF(Cleaned_Data!D227="Airport",1,0)</f>
        <v>0</v>
      </c>
      <c r="E228" s="5">
        <f>IF(Cleaned_Data!D227="High Street",1,0)</f>
        <v>0</v>
      </c>
      <c r="F228" s="7">
        <f>IF(Cleaned_Data!D227="Residential",1,0)</f>
        <v>0</v>
      </c>
    </row>
    <row r="229" spans="1:6">
      <c r="A229" s="6">
        <f>IF(Cleaned_Data!C228="North",1,0)</f>
        <v>0</v>
      </c>
      <c r="B229" s="5">
        <f>IF(Cleaned_Data!C228="South",1,0)</f>
        <v>0</v>
      </c>
      <c r="C229" s="15">
        <f>IF(Cleaned_Data!C228="East",1,0)</f>
        <v>1</v>
      </c>
      <c r="D229" s="6">
        <f>IF(Cleaned_Data!D228="Airport",1,0)</f>
        <v>0</v>
      </c>
      <c r="E229" s="5">
        <f>IF(Cleaned_Data!D228="High Street",1,0)</f>
        <v>0</v>
      </c>
      <c r="F229" s="7">
        <f>IF(Cleaned_Data!D228="Residential",1,0)</f>
        <v>0</v>
      </c>
    </row>
    <row r="230" spans="1:6">
      <c r="A230" s="6">
        <f>IF(Cleaned_Data!C229="North",1,0)</f>
        <v>0</v>
      </c>
      <c r="B230" s="5">
        <f>IF(Cleaned_Data!C229="South",1,0)</f>
        <v>0</v>
      </c>
      <c r="C230" s="15">
        <f>IF(Cleaned_Data!C229="East",1,0)</f>
        <v>1</v>
      </c>
      <c r="D230" s="6">
        <f>IF(Cleaned_Data!D229="Airport",1,0)</f>
        <v>0</v>
      </c>
      <c r="E230" s="5">
        <f>IF(Cleaned_Data!D229="High Street",1,0)</f>
        <v>0</v>
      </c>
      <c r="F230" s="7">
        <f>IF(Cleaned_Data!D229="Residential",1,0)</f>
        <v>0</v>
      </c>
    </row>
    <row r="231" spans="1:6">
      <c r="A231" s="6">
        <f>IF(Cleaned_Data!C230="North",1,0)</f>
        <v>0</v>
      </c>
      <c r="B231" s="5">
        <f>IF(Cleaned_Data!C230="South",1,0)</f>
        <v>0</v>
      </c>
      <c r="C231" s="15">
        <f>IF(Cleaned_Data!C230="East",1,0)</f>
        <v>1</v>
      </c>
      <c r="D231" s="6">
        <f>IF(Cleaned_Data!D230="Airport",1,0)</f>
        <v>0</v>
      </c>
      <c r="E231" s="5">
        <f>IF(Cleaned_Data!D230="High Street",1,0)</f>
        <v>1</v>
      </c>
      <c r="F231" s="7">
        <f>IF(Cleaned_Data!D230="Residential",1,0)</f>
        <v>0</v>
      </c>
    </row>
    <row r="232" spans="1:6">
      <c r="A232" s="6">
        <f>IF(Cleaned_Data!C231="North",1,0)</f>
        <v>0</v>
      </c>
      <c r="B232" s="5">
        <f>IF(Cleaned_Data!C231="South",1,0)</f>
        <v>0</v>
      </c>
      <c r="C232" s="15">
        <f>IF(Cleaned_Data!C231="East",1,0)</f>
        <v>1</v>
      </c>
      <c r="D232" s="6">
        <f>IF(Cleaned_Data!D231="Airport",1,0)</f>
        <v>0</v>
      </c>
      <c r="E232" s="5">
        <f>IF(Cleaned_Data!D231="High Street",1,0)</f>
        <v>1</v>
      </c>
      <c r="F232" s="7">
        <f>IF(Cleaned_Data!D231="Residential",1,0)</f>
        <v>0</v>
      </c>
    </row>
    <row r="233" spans="1:6">
      <c r="A233" s="6">
        <f>IF(Cleaned_Data!C232="North",1,0)</f>
        <v>0</v>
      </c>
      <c r="B233" s="5">
        <f>IF(Cleaned_Data!C232="South",1,0)</f>
        <v>0</v>
      </c>
      <c r="C233" s="15">
        <f>IF(Cleaned_Data!C232="East",1,0)</f>
        <v>1</v>
      </c>
      <c r="D233" s="6">
        <f>IF(Cleaned_Data!D232="Airport",1,0)</f>
        <v>0</v>
      </c>
      <c r="E233" s="5">
        <f>IF(Cleaned_Data!D232="High Street",1,0)</f>
        <v>1</v>
      </c>
      <c r="F233" s="7">
        <f>IF(Cleaned_Data!D232="Residential",1,0)</f>
        <v>0</v>
      </c>
    </row>
    <row r="234" spans="1:6">
      <c r="A234" s="6">
        <f>IF(Cleaned_Data!C233="North",1,0)</f>
        <v>0</v>
      </c>
      <c r="B234" s="5">
        <f>IF(Cleaned_Data!C233="South",1,0)</f>
        <v>0</v>
      </c>
      <c r="C234" s="15">
        <f>IF(Cleaned_Data!C233="East",1,0)</f>
        <v>1</v>
      </c>
      <c r="D234" s="6">
        <f>IF(Cleaned_Data!D233="Airport",1,0)</f>
        <v>0</v>
      </c>
      <c r="E234" s="5">
        <f>IF(Cleaned_Data!D233="High Street",1,0)</f>
        <v>1</v>
      </c>
      <c r="F234" s="7">
        <f>IF(Cleaned_Data!D233="Residential",1,0)</f>
        <v>0</v>
      </c>
    </row>
    <row r="235" spans="1:6">
      <c r="A235" s="6">
        <f>IF(Cleaned_Data!C234="North",1,0)</f>
        <v>0</v>
      </c>
      <c r="B235" s="5">
        <f>IF(Cleaned_Data!C234="South",1,0)</f>
        <v>0</v>
      </c>
      <c r="C235" s="15">
        <f>IF(Cleaned_Data!C234="East",1,0)</f>
        <v>0</v>
      </c>
      <c r="D235" s="6">
        <f>IF(Cleaned_Data!D234="Airport",1,0)</f>
        <v>0</v>
      </c>
      <c r="E235" s="5">
        <f>IF(Cleaned_Data!D234="High Street",1,0)</f>
        <v>0</v>
      </c>
      <c r="F235" s="7">
        <f>IF(Cleaned_Data!D234="Residential",1,0)</f>
        <v>1</v>
      </c>
    </row>
    <row r="236" spans="1:6">
      <c r="A236" s="6">
        <f>IF(Cleaned_Data!C235="North",1,0)</f>
        <v>0</v>
      </c>
      <c r="B236" s="5">
        <f>IF(Cleaned_Data!C235="South",1,0)</f>
        <v>0</v>
      </c>
      <c r="C236" s="15">
        <f>IF(Cleaned_Data!C235="East",1,0)</f>
        <v>0</v>
      </c>
      <c r="D236" s="6">
        <f>IF(Cleaned_Data!D235="Airport",1,0)</f>
        <v>0</v>
      </c>
      <c r="E236" s="5">
        <f>IF(Cleaned_Data!D235="High Street",1,0)</f>
        <v>0</v>
      </c>
      <c r="F236" s="7">
        <f>IF(Cleaned_Data!D235="Residential",1,0)</f>
        <v>1</v>
      </c>
    </row>
    <row r="237" spans="1:6">
      <c r="A237" s="6">
        <f>IF(Cleaned_Data!C236="North",1,0)</f>
        <v>0</v>
      </c>
      <c r="B237" s="5">
        <f>IF(Cleaned_Data!C236="South",1,0)</f>
        <v>0</v>
      </c>
      <c r="C237" s="15">
        <f>IF(Cleaned_Data!C236="East",1,0)</f>
        <v>0</v>
      </c>
      <c r="D237" s="6">
        <f>IF(Cleaned_Data!D236="Airport",1,0)</f>
        <v>0</v>
      </c>
      <c r="E237" s="5">
        <f>IF(Cleaned_Data!D236="High Street",1,0)</f>
        <v>0</v>
      </c>
      <c r="F237" s="7">
        <f>IF(Cleaned_Data!D236="Residential",1,0)</f>
        <v>1</v>
      </c>
    </row>
    <row r="238" spans="1:6">
      <c r="A238" s="6">
        <f>IF(Cleaned_Data!C237="North",1,0)</f>
        <v>0</v>
      </c>
      <c r="B238" s="5">
        <f>IF(Cleaned_Data!C237="South",1,0)</f>
        <v>0</v>
      </c>
      <c r="C238" s="15">
        <f>IF(Cleaned_Data!C237="East",1,0)</f>
        <v>0</v>
      </c>
      <c r="D238" s="6">
        <f>IF(Cleaned_Data!D237="Airport",1,0)</f>
        <v>0</v>
      </c>
      <c r="E238" s="5">
        <f>IF(Cleaned_Data!D237="High Street",1,0)</f>
        <v>0</v>
      </c>
      <c r="F238" s="7">
        <f>IF(Cleaned_Data!D237="Residential",1,0)</f>
        <v>1</v>
      </c>
    </row>
    <row r="239" spans="1:6">
      <c r="A239" s="6">
        <f>IF(Cleaned_Data!C238="North",1,0)</f>
        <v>0</v>
      </c>
      <c r="B239" s="5">
        <f>IF(Cleaned_Data!C238="South",1,0)</f>
        <v>0</v>
      </c>
      <c r="C239" s="15">
        <f>IF(Cleaned_Data!C238="East",1,0)</f>
        <v>0</v>
      </c>
      <c r="D239" s="6">
        <f>IF(Cleaned_Data!D238="Airport",1,0)</f>
        <v>0</v>
      </c>
      <c r="E239" s="5">
        <f>IF(Cleaned_Data!D238="High Street",1,0)</f>
        <v>0</v>
      </c>
      <c r="F239" s="7">
        <f>IF(Cleaned_Data!D238="Residential",1,0)</f>
        <v>0</v>
      </c>
    </row>
    <row r="240" spans="1:6">
      <c r="A240" s="6">
        <f>IF(Cleaned_Data!C239="North",1,0)</f>
        <v>0</v>
      </c>
      <c r="B240" s="5">
        <f>IF(Cleaned_Data!C239="South",1,0)</f>
        <v>0</v>
      </c>
      <c r="C240" s="15">
        <f>IF(Cleaned_Data!C239="East",1,0)</f>
        <v>0</v>
      </c>
      <c r="D240" s="6">
        <f>IF(Cleaned_Data!D239="Airport",1,0)</f>
        <v>0</v>
      </c>
      <c r="E240" s="5">
        <f>IF(Cleaned_Data!D239="High Street",1,0)</f>
        <v>0</v>
      </c>
      <c r="F240" s="7">
        <f>IF(Cleaned_Data!D239="Residential",1,0)</f>
        <v>0</v>
      </c>
    </row>
    <row r="241" spans="1:6">
      <c r="A241" s="6">
        <f>IF(Cleaned_Data!C240="North",1,0)</f>
        <v>0</v>
      </c>
      <c r="B241" s="5">
        <f>IF(Cleaned_Data!C240="South",1,0)</f>
        <v>0</v>
      </c>
      <c r="C241" s="15">
        <f>IF(Cleaned_Data!C240="East",1,0)</f>
        <v>0</v>
      </c>
      <c r="D241" s="6">
        <f>IF(Cleaned_Data!D240="Airport",1,0)</f>
        <v>0</v>
      </c>
      <c r="E241" s="5">
        <f>IF(Cleaned_Data!D240="High Street",1,0)</f>
        <v>0</v>
      </c>
      <c r="F241" s="7">
        <f>IF(Cleaned_Data!D240="Residential",1,0)</f>
        <v>0</v>
      </c>
    </row>
    <row r="242" spans="1:6">
      <c r="A242" s="6">
        <f>IF(Cleaned_Data!C241="North",1,0)</f>
        <v>0</v>
      </c>
      <c r="B242" s="5">
        <f>IF(Cleaned_Data!C241="South",1,0)</f>
        <v>0</v>
      </c>
      <c r="C242" s="15">
        <f>IF(Cleaned_Data!C241="East",1,0)</f>
        <v>0</v>
      </c>
      <c r="D242" s="6">
        <f>IF(Cleaned_Data!D241="Airport",1,0)</f>
        <v>0</v>
      </c>
      <c r="E242" s="5">
        <f>IF(Cleaned_Data!D241="High Street",1,0)</f>
        <v>0</v>
      </c>
      <c r="F242" s="7">
        <f>IF(Cleaned_Data!D241="Residential",1,0)</f>
        <v>0</v>
      </c>
    </row>
    <row r="243" spans="1:6">
      <c r="A243" s="6">
        <f>IF(Cleaned_Data!C242="North",1,0)</f>
        <v>0</v>
      </c>
      <c r="B243" s="5">
        <f>IF(Cleaned_Data!C242="South",1,0)</f>
        <v>1</v>
      </c>
      <c r="C243" s="15">
        <f>IF(Cleaned_Data!C242="East",1,0)</f>
        <v>0</v>
      </c>
      <c r="D243" s="6">
        <f>IF(Cleaned_Data!D242="Airport",1,0)</f>
        <v>1</v>
      </c>
      <c r="E243" s="5">
        <f>IF(Cleaned_Data!D242="High Street",1,0)</f>
        <v>0</v>
      </c>
      <c r="F243" s="7">
        <f>IF(Cleaned_Data!D242="Residential",1,0)</f>
        <v>0</v>
      </c>
    </row>
    <row r="244" spans="1:6">
      <c r="A244" s="6">
        <f>IF(Cleaned_Data!C243="North",1,0)</f>
        <v>0</v>
      </c>
      <c r="B244" s="5">
        <f>IF(Cleaned_Data!C243="South",1,0)</f>
        <v>1</v>
      </c>
      <c r="C244" s="15">
        <f>IF(Cleaned_Data!C243="East",1,0)</f>
        <v>0</v>
      </c>
      <c r="D244" s="6">
        <f>IF(Cleaned_Data!D243="Airport",1,0)</f>
        <v>1</v>
      </c>
      <c r="E244" s="5">
        <f>IF(Cleaned_Data!D243="High Street",1,0)</f>
        <v>0</v>
      </c>
      <c r="F244" s="7">
        <f>IF(Cleaned_Data!D243="Residential",1,0)</f>
        <v>0</v>
      </c>
    </row>
    <row r="245" spans="1:6">
      <c r="A245" s="6">
        <f>IF(Cleaned_Data!C244="North",1,0)</f>
        <v>0</v>
      </c>
      <c r="B245" s="5">
        <f>IF(Cleaned_Data!C244="South",1,0)</f>
        <v>1</v>
      </c>
      <c r="C245" s="15">
        <f>IF(Cleaned_Data!C244="East",1,0)</f>
        <v>0</v>
      </c>
      <c r="D245" s="6">
        <f>IF(Cleaned_Data!D244="Airport",1,0)</f>
        <v>1</v>
      </c>
      <c r="E245" s="5">
        <f>IF(Cleaned_Data!D244="High Street",1,0)</f>
        <v>0</v>
      </c>
      <c r="F245" s="7">
        <f>IF(Cleaned_Data!D244="Residential",1,0)</f>
        <v>0</v>
      </c>
    </row>
    <row r="246" spans="1:6">
      <c r="A246" s="6">
        <f>IF(Cleaned_Data!C245="North",1,0)</f>
        <v>0</v>
      </c>
      <c r="B246" s="5">
        <f>IF(Cleaned_Data!C245="South",1,0)</f>
        <v>1</v>
      </c>
      <c r="C246" s="15">
        <f>IF(Cleaned_Data!C245="East",1,0)</f>
        <v>0</v>
      </c>
      <c r="D246" s="6">
        <f>IF(Cleaned_Data!D245="Airport",1,0)</f>
        <v>1</v>
      </c>
      <c r="E246" s="5">
        <f>IF(Cleaned_Data!D245="High Street",1,0)</f>
        <v>0</v>
      </c>
      <c r="F246" s="7">
        <f>IF(Cleaned_Data!D245="Residential",1,0)</f>
        <v>0</v>
      </c>
    </row>
    <row r="247" spans="1:6">
      <c r="A247" s="6">
        <f>IF(Cleaned_Data!C246="North",1,0)</f>
        <v>0</v>
      </c>
      <c r="B247" s="5">
        <f>IF(Cleaned_Data!C246="South",1,0)</f>
        <v>0</v>
      </c>
      <c r="C247" s="15">
        <f>IF(Cleaned_Data!C246="East",1,0)</f>
        <v>1</v>
      </c>
      <c r="D247" s="6">
        <f>IF(Cleaned_Data!D246="Airport",1,0)</f>
        <v>0</v>
      </c>
      <c r="E247" s="5">
        <f>IF(Cleaned_Data!D246="High Street",1,0)</f>
        <v>1</v>
      </c>
      <c r="F247" s="7">
        <f>IF(Cleaned_Data!D246="Residential",1,0)</f>
        <v>0</v>
      </c>
    </row>
    <row r="248" spans="1:6">
      <c r="A248" s="6">
        <f>IF(Cleaned_Data!C247="North",1,0)</f>
        <v>0</v>
      </c>
      <c r="B248" s="5">
        <f>IF(Cleaned_Data!C247="South",1,0)</f>
        <v>0</v>
      </c>
      <c r="C248" s="15">
        <f>IF(Cleaned_Data!C247="East",1,0)</f>
        <v>1</v>
      </c>
      <c r="D248" s="6">
        <f>IF(Cleaned_Data!D247="Airport",1,0)</f>
        <v>0</v>
      </c>
      <c r="E248" s="5">
        <f>IF(Cleaned_Data!D247="High Street",1,0)</f>
        <v>1</v>
      </c>
      <c r="F248" s="7">
        <f>IF(Cleaned_Data!D247="Residential",1,0)</f>
        <v>0</v>
      </c>
    </row>
    <row r="249" spans="1:6">
      <c r="A249" s="6">
        <f>IF(Cleaned_Data!C248="North",1,0)</f>
        <v>0</v>
      </c>
      <c r="B249" s="5">
        <f>IF(Cleaned_Data!C248="South",1,0)</f>
        <v>0</v>
      </c>
      <c r="C249" s="15">
        <f>IF(Cleaned_Data!C248="East",1,0)</f>
        <v>1</v>
      </c>
      <c r="D249" s="6">
        <f>IF(Cleaned_Data!D248="Airport",1,0)</f>
        <v>0</v>
      </c>
      <c r="E249" s="5">
        <f>IF(Cleaned_Data!D248="High Street",1,0)</f>
        <v>1</v>
      </c>
      <c r="F249" s="7">
        <f>IF(Cleaned_Data!D248="Residential",1,0)</f>
        <v>0</v>
      </c>
    </row>
    <row r="250" spans="1:6">
      <c r="A250" s="6">
        <f>IF(Cleaned_Data!C249="North",1,0)</f>
        <v>0</v>
      </c>
      <c r="B250" s="5">
        <f>IF(Cleaned_Data!C249="South",1,0)</f>
        <v>0</v>
      </c>
      <c r="C250" s="15">
        <f>IF(Cleaned_Data!C249="East",1,0)</f>
        <v>1</v>
      </c>
      <c r="D250" s="6">
        <f>IF(Cleaned_Data!D249="Airport",1,0)</f>
        <v>0</v>
      </c>
      <c r="E250" s="5">
        <f>IF(Cleaned_Data!D249="High Street",1,0)</f>
        <v>1</v>
      </c>
      <c r="F250" s="7">
        <f>IF(Cleaned_Data!D249="Residential",1,0)</f>
        <v>0</v>
      </c>
    </row>
    <row r="251" spans="1:6">
      <c r="A251" s="6">
        <f>IF(Cleaned_Data!C250="North",1,0)</f>
        <v>1</v>
      </c>
      <c r="B251" s="5">
        <f>IF(Cleaned_Data!C250="South",1,0)</f>
        <v>0</v>
      </c>
      <c r="C251" s="15">
        <f>IF(Cleaned_Data!C250="East",1,0)</f>
        <v>0</v>
      </c>
      <c r="D251" s="6">
        <f>IF(Cleaned_Data!D250="Airport",1,0)</f>
        <v>0</v>
      </c>
      <c r="E251" s="5">
        <f>IF(Cleaned_Data!D250="High Street",1,0)</f>
        <v>1</v>
      </c>
      <c r="F251" s="7">
        <f>IF(Cleaned_Data!D250="Residential",1,0)</f>
        <v>0</v>
      </c>
    </row>
    <row r="252" spans="1:6">
      <c r="A252" s="6">
        <f>IF(Cleaned_Data!C251="North",1,0)</f>
        <v>1</v>
      </c>
      <c r="B252" s="5">
        <f>IF(Cleaned_Data!C251="South",1,0)</f>
        <v>0</v>
      </c>
      <c r="C252" s="15">
        <f>IF(Cleaned_Data!C251="East",1,0)</f>
        <v>0</v>
      </c>
      <c r="D252" s="6">
        <f>IF(Cleaned_Data!D251="Airport",1,0)</f>
        <v>0</v>
      </c>
      <c r="E252" s="5">
        <f>IF(Cleaned_Data!D251="High Street",1,0)</f>
        <v>1</v>
      </c>
      <c r="F252" s="7">
        <f>IF(Cleaned_Data!D251="Residential",1,0)</f>
        <v>0</v>
      </c>
    </row>
    <row r="253" spans="1:6">
      <c r="A253" s="6">
        <f>IF(Cleaned_Data!C252="North",1,0)</f>
        <v>1</v>
      </c>
      <c r="B253" s="5">
        <f>IF(Cleaned_Data!C252="South",1,0)</f>
        <v>0</v>
      </c>
      <c r="C253" s="15">
        <f>IF(Cleaned_Data!C252="East",1,0)</f>
        <v>0</v>
      </c>
      <c r="D253" s="6">
        <f>IF(Cleaned_Data!D252="Airport",1,0)</f>
        <v>0</v>
      </c>
      <c r="E253" s="5">
        <f>IF(Cleaned_Data!D252="High Street",1,0)</f>
        <v>1</v>
      </c>
      <c r="F253" s="7">
        <f>IF(Cleaned_Data!D252="Residential",1,0)</f>
        <v>0</v>
      </c>
    </row>
    <row r="254" spans="1:6">
      <c r="A254" s="6">
        <f>IF(Cleaned_Data!C253="North",1,0)</f>
        <v>1</v>
      </c>
      <c r="B254" s="5">
        <f>IF(Cleaned_Data!C253="South",1,0)</f>
        <v>0</v>
      </c>
      <c r="C254" s="15">
        <f>IF(Cleaned_Data!C253="East",1,0)</f>
        <v>0</v>
      </c>
      <c r="D254" s="6">
        <f>IF(Cleaned_Data!D253="Airport",1,0)</f>
        <v>0</v>
      </c>
      <c r="E254" s="5">
        <f>IF(Cleaned_Data!D253="High Street",1,0)</f>
        <v>1</v>
      </c>
      <c r="F254" s="7">
        <f>IF(Cleaned_Data!D253="Residential",1,0)</f>
        <v>0</v>
      </c>
    </row>
    <row r="255" spans="1:6">
      <c r="A255" s="6">
        <f>IF(Cleaned_Data!C254="North",1,0)</f>
        <v>0</v>
      </c>
      <c r="B255" s="5">
        <f>IF(Cleaned_Data!C254="South",1,0)</f>
        <v>1</v>
      </c>
      <c r="C255" s="15">
        <f>IF(Cleaned_Data!C254="East",1,0)</f>
        <v>0</v>
      </c>
      <c r="D255" s="6">
        <f>IF(Cleaned_Data!D254="Airport",1,0)</f>
        <v>1</v>
      </c>
      <c r="E255" s="5">
        <f>IF(Cleaned_Data!D254="High Street",1,0)</f>
        <v>0</v>
      </c>
      <c r="F255" s="7">
        <f>IF(Cleaned_Data!D254="Residential",1,0)</f>
        <v>0</v>
      </c>
    </row>
    <row r="256" spans="1:6">
      <c r="A256" s="6">
        <f>IF(Cleaned_Data!C255="North",1,0)</f>
        <v>0</v>
      </c>
      <c r="B256" s="5">
        <f>IF(Cleaned_Data!C255="South",1,0)</f>
        <v>1</v>
      </c>
      <c r="C256" s="15">
        <f>IF(Cleaned_Data!C255="East",1,0)</f>
        <v>0</v>
      </c>
      <c r="D256" s="6">
        <f>IF(Cleaned_Data!D255="Airport",1,0)</f>
        <v>1</v>
      </c>
      <c r="E256" s="5">
        <f>IF(Cleaned_Data!D255="High Street",1,0)</f>
        <v>0</v>
      </c>
      <c r="F256" s="7">
        <f>IF(Cleaned_Data!D255="Residential",1,0)</f>
        <v>0</v>
      </c>
    </row>
    <row r="257" spans="1:6">
      <c r="A257" s="6">
        <f>IF(Cleaned_Data!C256="North",1,0)</f>
        <v>0</v>
      </c>
      <c r="B257" s="5">
        <f>IF(Cleaned_Data!C256="South",1,0)</f>
        <v>1</v>
      </c>
      <c r="C257" s="15">
        <f>IF(Cleaned_Data!C256="East",1,0)</f>
        <v>0</v>
      </c>
      <c r="D257" s="6">
        <f>IF(Cleaned_Data!D256="Airport",1,0)</f>
        <v>1</v>
      </c>
      <c r="E257" s="5">
        <f>IF(Cleaned_Data!D256="High Street",1,0)</f>
        <v>0</v>
      </c>
      <c r="F257" s="7">
        <f>IF(Cleaned_Data!D256="Residential",1,0)</f>
        <v>0</v>
      </c>
    </row>
    <row r="258" spans="1:6">
      <c r="A258" s="6">
        <f>IF(Cleaned_Data!C257="North",1,0)</f>
        <v>0</v>
      </c>
      <c r="B258" s="5">
        <f>IF(Cleaned_Data!C257="South",1,0)</f>
        <v>1</v>
      </c>
      <c r="C258" s="15">
        <f>IF(Cleaned_Data!C257="East",1,0)</f>
        <v>0</v>
      </c>
      <c r="D258" s="6">
        <f>IF(Cleaned_Data!D257="Airport",1,0)</f>
        <v>1</v>
      </c>
      <c r="E258" s="5">
        <f>IF(Cleaned_Data!D257="High Street",1,0)</f>
        <v>0</v>
      </c>
      <c r="F258" s="7">
        <f>IF(Cleaned_Data!D257="Residential",1,0)</f>
        <v>0</v>
      </c>
    </row>
    <row r="259" spans="1:6">
      <c r="A259" s="6">
        <f>IF(Cleaned_Data!C258="North",1,0)</f>
        <v>0</v>
      </c>
      <c r="B259" s="5">
        <f>IF(Cleaned_Data!C258="South",1,0)</f>
        <v>1</v>
      </c>
      <c r="C259" s="15">
        <f>IF(Cleaned_Data!C258="East",1,0)</f>
        <v>0</v>
      </c>
      <c r="D259" s="6">
        <f>IF(Cleaned_Data!D258="Airport",1,0)</f>
        <v>0</v>
      </c>
      <c r="E259" s="5">
        <f>IF(Cleaned_Data!D258="High Street",1,0)</f>
        <v>0</v>
      </c>
      <c r="F259" s="7">
        <f>IF(Cleaned_Data!D258="Residential",1,0)</f>
        <v>0</v>
      </c>
    </row>
    <row r="260" spans="1:6">
      <c r="A260" s="6">
        <f>IF(Cleaned_Data!C259="North",1,0)</f>
        <v>0</v>
      </c>
      <c r="B260" s="5">
        <f>IF(Cleaned_Data!C259="South",1,0)</f>
        <v>1</v>
      </c>
      <c r="C260" s="15">
        <f>IF(Cleaned_Data!C259="East",1,0)</f>
        <v>0</v>
      </c>
      <c r="D260" s="6">
        <f>IF(Cleaned_Data!D259="Airport",1,0)</f>
        <v>0</v>
      </c>
      <c r="E260" s="5">
        <f>IF(Cleaned_Data!D259="High Street",1,0)</f>
        <v>0</v>
      </c>
      <c r="F260" s="7">
        <f>IF(Cleaned_Data!D259="Residential",1,0)</f>
        <v>0</v>
      </c>
    </row>
    <row r="261" spans="1:6">
      <c r="A261" s="6">
        <f>IF(Cleaned_Data!C260="North",1,0)</f>
        <v>0</v>
      </c>
      <c r="B261" s="5">
        <f>IF(Cleaned_Data!C260="South",1,0)</f>
        <v>1</v>
      </c>
      <c r="C261" s="15">
        <f>IF(Cleaned_Data!C260="East",1,0)</f>
        <v>0</v>
      </c>
      <c r="D261" s="6">
        <f>IF(Cleaned_Data!D260="Airport",1,0)</f>
        <v>0</v>
      </c>
      <c r="E261" s="5">
        <f>IF(Cleaned_Data!D260="High Street",1,0)</f>
        <v>0</v>
      </c>
      <c r="F261" s="7">
        <f>IF(Cleaned_Data!D260="Residential",1,0)</f>
        <v>0</v>
      </c>
    </row>
    <row r="262" spans="1:6">
      <c r="A262" s="6">
        <f>IF(Cleaned_Data!C261="North",1,0)</f>
        <v>0</v>
      </c>
      <c r="B262" s="5">
        <f>IF(Cleaned_Data!C261="South",1,0)</f>
        <v>1</v>
      </c>
      <c r="C262" s="15">
        <f>IF(Cleaned_Data!C261="East",1,0)</f>
        <v>0</v>
      </c>
      <c r="D262" s="6">
        <f>IF(Cleaned_Data!D261="Airport",1,0)</f>
        <v>0</v>
      </c>
      <c r="E262" s="5">
        <f>IF(Cleaned_Data!D261="High Street",1,0)</f>
        <v>0</v>
      </c>
      <c r="F262" s="7">
        <f>IF(Cleaned_Data!D261="Residential",1,0)</f>
        <v>0</v>
      </c>
    </row>
    <row r="263" spans="1:6">
      <c r="A263" s="6">
        <f>IF(Cleaned_Data!C262="North",1,0)</f>
        <v>0</v>
      </c>
      <c r="B263" s="5">
        <f>IF(Cleaned_Data!C262="South",1,0)</f>
        <v>0</v>
      </c>
      <c r="C263" s="15">
        <f>IF(Cleaned_Data!C262="East",1,0)</f>
        <v>0</v>
      </c>
      <c r="D263" s="6">
        <f>IF(Cleaned_Data!D262="Airport",1,0)</f>
        <v>0</v>
      </c>
      <c r="E263" s="5">
        <f>IF(Cleaned_Data!D262="High Street",1,0)</f>
        <v>1</v>
      </c>
      <c r="F263" s="7">
        <f>IF(Cleaned_Data!D262="Residential",1,0)</f>
        <v>0</v>
      </c>
    </row>
    <row r="264" spans="1:6">
      <c r="A264" s="6">
        <f>IF(Cleaned_Data!C263="North",1,0)</f>
        <v>0</v>
      </c>
      <c r="B264" s="5">
        <f>IF(Cleaned_Data!C263="South",1,0)</f>
        <v>0</v>
      </c>
      <c r="C264" s="15">
        <f>IF(Cleaned_Data!C263="East",1,0)</f>
        <v>0</v>
      </c>
      <c r="D264" s="6">
        <f>IF(Cleaned_Data!D263="Airport",1,0)</f>
        <v>0</v>
      </c>
      <c r="E264" s="5">
        <f>IF(Cleaned_Data!D263="High Street",1,0)</f>
        <v>1</v>
      </c>
      <c r="F264" s="7">
        <f>IF(Cleaned_Data!D263="Residential",1,0)</f>
        <v>0</v>
      </c>
    </row>
    <row r="265" spans="1:6">
      <c r="A265" s="6">
        <f>IF(Cleaned_Data!C264="North",1,0)</f>
        <v>0</v>
      </c>
      <c r="B265" s="5">
        <f>IF(Cleaned_Data!C264="South",1,0)</f>
        <v>0</v>
      </c>
      <c r="C265" s="15">
        <f>IF(Cleaned_Data!C264="East",1,0)</f>
        <v>0</v>
      </c>
      <c r="D265" s="6">
        <f>IF(Cleaned_Data!D264="Airport",1,0)</f>
        <v>0</v>
      </c>
      <c r="E265" s="5">
        <f>IF(Cleaned_Data!D264="High Street",1,0)</f>
        <v>1</v>
      </c>
      <c r="F265" s="7">
        <f>IF(Cleaned_Data!D264="Residential",1,0)</f>
        <v>0</v>
      </c>
    </row>
    <row r="266" spans="1:6">
      <c r="A266" s="6">
        <f>IF(Cleaned_Data!C265="North",1,0)</f>
        <v>0</v>
      </c>
      <c r="B266" s="5">
        <f>IF(Cleaned_Data!C265="South",1,0)</f>
        <v>0</v>
      </c>
      <c r="C266" s="15">
        <f>IF(Cleaned_Data!C265="East",1,0)</f>
        <v>0</v>
      </c>
      <c r="D266" s="6">
        <f>IF(Cleaned_Data!D265="Airport",1,0)</f>
        <v>0</v>
      </c>
      <c r="E266" s="5">
        <f>IF(Cleaned_Data!D265="High Street",1,0)</f>
        <v>1</v>
      </c>
      <c r="F266" s="7">
        <f>IF(Cleaned_Data!D265="Residential",1,0)</f>
        <v>0</v>
      </c>
    </row>
    <row r="267" spans="1:6">
      <c r="A267" s="6">
        <f>IF(Cleaned_Data!C266="North",1,0)</f>
        <v>0</v>
      </c>
      <c r="B267" s="5">
        <f>IF(Cleaned_Data!C266="South",1,0)</f>
        <v>0</v>
      </c>
      <c r="C267" s="15">
        <f>IF(Cleaned_Data!C266="East",1,0)</f>
        <v>1</v>
      </c>
      <c r="D267" s="6">
        <f>IF(Cleaned_Data!D266="Airport",1,0)</f>
        <v>0</v>
      </c>
      <c r="E267" s="5">
        <f>IF(Cleaned_Data!D266="High Street",1,0)</f>
        <v>1</v>
      </c>
      <c r="F267" s="7">
        <f>IF(Cleaned_Data!D266="Residential",1,0)</f>
        <v>0</v>
      </c>
    </row>
    <row r="268" spans="1:6">
      <c r="A268" s="6">
        <f>IF(Cleaned_Data!C267="North",1,0)</f>
        <v>0</v>
      </c>
      <c r="B268" s="5">
        <f>IF(Cleaned_Data!C267="South",1,0)</f>
        <v>0</v>
      </c>
      <c r="C268" s="15">
        <f>IF(Cleaned_Data!C267="East",1,0)</f>
        <v>1</v>
      </c>
      <c r="D268" s="6">
        <f>IF(Cleaned_Data!D267="Airport",1,0)</f>
        <v>0</v>
      </c>
      <c r="E268" s="5">
        <f>IF(Cleaned_Data!D267="High Street",1,0)</f>
        <v>1</v>
      </c>
      <c r="F268" s="7">
        <f>IF(Cleaned_Data!D267="Residential",1,0)</f>
        <v>0</v>
      </c>
    </row>
    <row r="269" spans="1:6">
      <c r="A269" s="6">
        <f>IF(Cleaned_Data!C268="North",1,0)</f>
        <v>0</v>
      </c>
      <c r="B269" s="5">
        <f>IF(Cleaned_Data!C268="South",1,0)</f>
        <v>0</v>
      </c>
      <c r="C269" s="15">
        <f>IF(Cleaned_Data!C268="East",1,0)</f>
        <v>1</v>
      </c>
      <c r="D269" s="6">
        <f>IF(Cleaned_Data!D268="Airport",1,0)</f>
        <v>0</v>
      </c>
      <c r="E269" s="5">
        <f>IF(Cleaned_Data!D268="High Street",1,0)</f>
        <v>1</v>
      </c>
      <c r="F269" s="7">
        <f>IF(Cleaned_Data!D268="Residential",1,0)</f>
        <v>0</v>
      </c>
    </row>
    <row r="270" spans="1:6">
      <c r="A270" s="6">
        <f>IF(Cleaned_Data!C269="North",1,0)</f>
        <v>0</v>
      </c>
      <c r="B270" s="5">
        <f>IF(Cleaned_Data!C269="South",1,0)</f>
        <v>0</v>
      </c>
      <c r="C270" s="15">
        <f>IF(Cleaned_Data!C269="East",1,0)</f>
        <v>1</v>
      </c>
      <c r="D270" s="6">
        <f>IF(Cleaned_Data!D269="Airport",1,0)</f>
        <v>0</v>
      </c>
      <c r="E270" s="5">
        <f>IF(Cleaned_Data!D269="High Street",1,0)</f>
        <v>1</v>
      </c>
      <c r="F270" s="7">
        <f>IF(Cleaned_Data!D269="Residential",1,0)</f>
        <v>0</v>
      </c>
    </row>
    <row r="271" spans="1:6">
      <c r="A271" s="6">
        <f>IF(Cleaned_Data!C270="North",1,0)</f>
        <v>0</v>
      </c>
      <c r="B271" s="5">
        <f>IF(Cleaned_Data!C270="South",1,0)</f>
        <v>0</v>
      </c>
      <c r="C271" s="15">
        <f>IF(Cleaned_Data!C270="East",1,0)</f>
        <v>1</v>
      </c>
      <c r="D271" s="6">
        <f>IF(Cleaned_Data!D270="Airport",1,0)</f>
        <v>0</v>
      </c>
      <c r="E271" s="5">
        <f>IF(Cleaned_Data!D270="High Street",1,0)</f>
        <v>0</v>
      </c>
      <c r="F271" s="7">
        <f>IF(Cleaned_Data!D270="Residential",1,0)</f>
        <v>0</v>
      </c>
    </row>
    <row r="272" spans="1:6">
      <c r="A272" s="6">
        <f>IF(Cleaned_Data!C271="North",1,0)</f>
        <v>0</v>
      </c>
      <c r="B272" s="5">
        <f>IF(Cleaned_Data!C271="South",1,0)</f>
        <v>0</v>
      </c>
      <c r="C272" s="15">
        <f>IF(Cleaned_Data!C271="East",1,0)</f>
        <v>1</v>
      </c>
      <c r="D272" s="6">
        <f>IF(Cleaned_Data!D271="Airport",1,0)</f>
        <v>0</v>
      </c>
      <c r="E272" s="5">
        <f>IF(Cleaned_Data!D271="High Street",1,0)</f>
        <v>0</v>
      </c>
      <c r="F272" s="7">
        <f>IF(Cleaned_Data!D271="Residential",1,0)</f>
        <v>0</v>
      </c>
    </row>
    <row r="273" spans="1:6">
      <c r="A273" s="6">
        <f>IF(Cleaned_Data!C272="North",1,0)</f>
        <v>0</v>
      </c>
      <c r="B273" s="5">
        <f>IF(Cleaned_Data!C272="South",1,0)</f>
        <v>0</v>
      </c>
      <c r="C273" s="15">
        <f>IF(Cleaned_Data!C272="East",1,0)</f>
        <v>1</v>
      </c>
      <c r="D273" s="6">
        <f>IF(Cleaned_Data!D272="Airport",1,0)</f>
        <v>0</v>
      </c>
      <c r="E273" s="5">
        <f>IF(Cleaned_Data!D272="High Street",1,0)</f>
        <v>0</v>
      </c>
      <c r="F273" s="7">
        <f>IF(Cleaned_Data!D272="Residential",1,0)</f>
        <v>0</v>
      </c>
    </row>
    <row r="274" spans="1:6">
      <c r="A274" s="6">
        <f>IF(Cleaned_Data!C273="North",1,0)</f>
        <v>0</v>
      </c>
      <c r="B274" s="5">
        <f>IF(Cleaned_Data!C273="South",1,0)</f>
        <v>0</v>
      </c>
      <c r="C274" s="15">
        <f>IF(Cleaned_Data!C273="East",1,0)</f>
        <v>1</v>
      </c>
      <c r="D274" s="6">
        <f>IF(Cleaned_Data!D273="Airport",1,0)</f>
        <v>0</v>
      </c>
      <c r="E274" s="5">
        <f>IF(Cleaned_Data!D273="High Street",1,0)</f>
        <v>0</v>
      </c>
      <c r="F274" s="7">
        <f>IF(Cleaned_Data!D273="Residential",1,0)</f>
        <v>0</v>
      </c>
    </row>
    <row r="275" spans="1:6">
      <c r="A275" s="6">
        <f>IF(Cleaned_Data!C274="North",1,0)</f>
        <v>0</v>
      </c>
      <c r="B275" s="5">
        <f>IF(Cleaned_Data!C274="South",1,0)</f>
        <v>0</v>
      </c>
      <c r="C275" s="15">
        <f>IF(Cleaned_Data!C274="East",1,0)</f>
        <v>0</v>
      </c>
      <c r="D275" s="6">
        <f>IF(Cleaned_Data!D274="Airport",1,0)</f>
        <v>0</v>
      </c>
      <c r="E275" s="5">
        <f>IF(Cleaned_Data!D274="High Street",1,0)</f>
        <v>1</v>
      </c>
      <c r="F275" s="7">
        <f>IF(Cleaned_Data!D274="Residential",1,0)</f>
        <v>0</v>
      </c>
    </row>
    <row r="276" spans="1:6">
      <c r="A276" s="6">
        <f>IF(Cleaned_Data!C275="North",1,0)</f>
        <v>0</v>
      </c>
      <c r="B276" s="5">
        <f>IF(Cleaned_Data!C275="South",1,0)</f>
        <v>0</v>
      </c>
      <c r="C276" s="15">
        <f>IF(Cleaned_Data!C275="East",1,0)</f>
        <v>0</v>
      </c>
      <c r="D276" s="6">
        <f>IF(Cleaned_Data!D275="Airport",1,0)</f>
        <v>0</v>
      </c>
      <c r="E276" s="5">
        <f>IF(Cleaned_Data!D275="High Street",1,0)</f>
        <v>1</v>
      </c>
      <c r="F276" s="7">
        <f>IF(Cleaned_Data!D275="Residential",1,0)</f>
        <v>0</v>
      </c>
    </row>
    <row r="277" spans="1:6">
      <c r="A277" s="6">
        <f>IF(Cleaned_Data!C276="North",1,0)</f>
        <v>0</v>
      </c>
      <c r="B277" s="5">
        <f>IF(Cleaned_Data!C276="South",1,0)</f>
        <v>0</v>
      </c>
      <c r="C277" s="15">
        <f>IF(Cleaned_Data!C276="East",1,0)</f>
        <v>0</v>
      </c>
      <c r="D277" s="6">
        <f>IF(Cleaned_Data!D276="Airport",1,0)</f>
        <v>0</v>
      </c>
      <c r="E277" s="5">
        <f>IF(Cleaned_Data!D276="High Street",1,0)</f>
        <v>1</v>
      </c>
      <c r="F277" s="7">
        <f>IF(Cleaned_Data!D276="Residential",1,0)</f>
        <v>0</v>
      </c>
    </row>
    <row r="278" spans="1:6">
      <c r="A278" s="6">
        <f>IF(Cleaned_Data!C277="North",1,0)</f>
        <v>0</v>
      </c>
      <c r="B278" s="5">
        <f>IF(Cleaned_Data!C277="South",1,0)</f>
        <v>0</v>
      </c>
      <c r="C278" s="15">
        <f>IF(Cleaned_Data!C277="East",1,0)</f>
        <v>0</v>
      </c>
      <c r="D278" s="6">
        <f>IF(Cleaned_Data!D277="Airport",1,0)</f>
        <v>0</v>
      </c>
      <c r="E278" s="5">
        <f>IF(Cleaned_Data!D277="High Street",1,0)</f>
        <v>1</v>
      </c>
      <c r="F278" s="7">
        <f>IF(Cleaned_Data!D277="Residential",1,0)</f>
        <v>0</v>
      </c>
    </row>
    <row r="279" spans="1:6">
      <c r="A279" s="6">
        <f>IF(Cleaned_Data!C278="North",1,0)</f>
        <v>0</v>
      </c>
      <c r="B279" s="5">
        <f>IF(Cleaned_Data!C278="South",1,0)</f>
        <v>1</v>
      </c>
      <c r="C279" s="15">
        <f>IF(Cleaned_Data!C278="East",1,0)</f>
        <v>0</v>
      </c>
      <c r="D279" s="6">
        <f>IF(Cleaned_Data!D278="Airport",1,0)</f>
        <v>0</v>
      </c>
      <c r="E279" s="5">
        <f>IF(Cleaned_Data!D278="High Street",1,0)</f>
        <v>0</v>
      </c>
      <c r="F279" s="7">
        <f>IF(Cleaned_Data!D278="Residential",1,0)</f>
        <v>1</v>
      </c>
    </row>
    <row r="280" spans="1:6">
      <c r="A280" s="6">
        <f>IF(Cleaned_Data!C279="North",1,0)</f>
        <v>0</v>
      </c>
      <c r="B280" s="5">
        <f>IF(Cleaned_Data!C279="South",1,0)</f>
        <v>1</v>
      </c>
      <c r="C280" s="15">
        <f>IF(Cleaned_Data!C279="East",1,0)</f>
        <v>0</v>
      </c>
      <c r="D280" s="6">
        <f>IF(Cleaned_Data!D279="Airport",1,0)</f>
        <v>0</v>
      </c>
      <c r="E280" s="5">
        <f>IF(Cleaned_Data!D279="High Street",1,0)</f>
        <v>0</v>
      </c>
      <c r="F280" s="7">
        <f>IF(Cleaned_Data!D279="Residential",1,0)</f>
        <v>1</v>
      </c>
    </row>
    <row r="281" spans="1:6">
      <c r="A281" s="6">
        <f>IF(Cleaned_Data!C280="North",1,0)</f>
        <v>0</v>
      </c>
      <c r="B281" s="5">
        <f>IF(Cleaned_Data!C280="South",1,0)</f>
        <v>1</v>
      </c>
      <c r="C281" s="15">
        <f>IF(Cleaned_Data!C280="East",1,0)</f>
        <v>0</v>
      </c>
      <c r="D281" s="6">
        <f>IF(Cleaned_Data!D280="Airport",1,0)</f>
        <v>0</v>
      </c>
      <c r="E281" s="5">
        <f>IF(Cleaned_Data!D280="High Street",1,0)</f>
        <v>0</v>
      </c>
      <c r="F281" s="7">
        <f>IF(Cleaned_Data!D280="Residential",1,0)</f>
        <v>1</v>
      </c>
    </row>
    <row r="282" spans="1:6">
      <c r="A282" s="6">
        <f>IF(Cleaned_Data!C281="North",1,0)</f>
        <v>0</v>
      </c>
      <c r="B282" s="5">
        <f>IF(Cleaned_Data!C281="South",1,0)</f>
        <v>1</v>
      </c>
      <c r="C282" s="15">
        <f>IF(Cleaned_Data!C281="East",1,0)</f>
        <v>0</v>
      </c>
      <c r="D282" s="6">
        <f>IF(Cleaned_Data!D281="Airport",1,0)</f>
        <v>0</v>
      </c>
      <c r="E282" s="5">
        <f>IF(Cleaned_Data!D281="High Street",1,0)</f>
        <v>0</v>
      </c>
      <c r="F282" s="7">
        <f>IF(Cleaned_Data!D281="Residential",1,0)</f>
        <v>1</v>
      </c>
    </row>
    <row r="283" spans="1:6">
      <c r="A283" s="6">
        <f>IF(Cleaned_Data!C282="North",1,0)</f>
        <v>0</v>
      </c>
      <c r="B283" s="5">
        <f>IF(Cleaned_Data!C282="South",1,0)</f>
        <v>1</v>
      </c>
      <c r="C283" s="15">
        <f>IF(Cleaned_Data!C282="East",1,0)</f>
        <v>0</v>
      </c>
      <c r="D283" s="6">
        <f>IF(Cleaned_Data!D282="Airport",1,0)</f>
        <v>0</v>
      </c>
      <c r="E283" s="5">
        <f>IF(Cleaned_Data!D282="High Street",1,0)</f>
        <v>1</v>
      </c>
      <c r="F283" s="7">
        <f>IF(Cleaned_Data!D282="Residential",1,0)</f>
        <v>0</v>
      </c>
    </row>
    <row r="284" spans="1:6">
      <c r="A284" s="6">
        <f>IF(Cleaned_Data!C283="North",1,0)</f>
        <v>0</v>
      </c>
      <c r="B284" s="5">
        <f>IF(Cleaned_Data!C283="South",1,0)</f>
        <v>1</v>
      </c>
      <c r="C284" s="15">
        <f>IF(Cleaned_Data!C283="East",1,0)</f>
        <v>0</v>
      </c>
      <c r="D284" s="6">
        <f>IF(Cleaned_Data!D283="Airport",1,0)</f>
        <v>0</v>
      </c>
      <c r="E284" s="5">
        <f>IF(Cleaned_Data!D283="High Street",1,0)</f>
        <v>1</v>
      </c>
      <c r="F284" s="7">
        <f>IF(Cleaned_Data!D283="Residential",1,0)</f>
        <v>0</v>
      </c>
    </row>
    <row r="285" spans="1:6">
      <c r="A285" s="6">
        <f>IF(Cleaned_Data!C284="North",1,0)</f>
        <v>0</v>
      </c>
      <c r="B285" s="5">
        <f>IF(Cleaned_Data!C284="South",1,0)</f>
        <v>1</v>
      </c>
      <c r="C285" s="15">
        <f>IF(Cleaned_Data!C284="East",1,0)</f>
        <v>0</v>
      </c>
      <c r="D285" s="6">
        <f>IF(Cleaned_Data!D284="Airport",1,0)</f>
        <v>0</v>
      </c>
      <c r="E285" s="5">
        <f>IF(Cleaned_Data!D284="High Street",1,0)</f>
        <v>1</v>
      </c>
      <c r="F285" s="7">
        <f>IF(Cleaned_Data!D284="Residential",1,0)</f>
        <v>0</v>
      </c>
    </row>
    <row r="286" spans="1:6">
      <c r="A286" s="6">
        <f>IF(Cleaned_Data!C285="North",1,0)</f>
        <v>0</v>
      </c>
      <c r="B286" s="5">
        <f>IF(Cleaned_Data!C285="South",1,0)</f>
        <v>1</v>
      </c>
      <c r="C286" s="15">
        <f>IF(Cleaned_Data!C285="East",1,0)</f>
        <v>0</v>
      </c>
      <c r="D286" s="6">
        <f>IF(Cleaned_Data!D285="Airport",1,0)</f>
        <v>0</v>
      </c>
      <c r="E286" s="5">
        <f>IF(Cleaned_Data!D285="High Street",1,0)</f>
        <v>1</v>
      </c>
      <c r="F286" s="7">
        <f>IF(Cleaned_Data!D285="Residential",1,0)</f>
        <v>0</v>
      </c>
    </row>
    <row r="287" spans="1:6">
      <c r="A287" s="6">
        <f>IF(Cleaned_Data!C286="North",1,0)</f>
        <v>0</v>
      </c>
      <c r="B287" s="5">
        <f>IF(Cleaned_Data!C286="South",1,0)</f>
        <v>0</v>
      </c>
      <c r="C287" s="15">
        <f>IF(Cleaned_Data!C286="East",1,0)</f>
        <v>0</v>
      </c>
      <c r="D287" s="6">
        <f>IF(Cleaned_Data!D286="Airport",1,0)</f>
        <v>0</v>
      </c>
      <c r="E287" s="5">
        <f>IF(Cleaned_Data!D286="High Street",1,0)</f>
        <v>0</v>
      </c>
      <c r="F287" s="7">
        <f>IF(Cleaned_Data!D286="Residential",1,0)</f>
        <v>1</v>
      </c>
    </row>
    <row r="288" spans="1:6">
      <c r="A288" s="6">
        <f>IF(Cleaned_Data!C287="North",1,0)</f>
        <v>0</v>
      </c>
      <c r="B288" s="5">
        <f>IF(Cleaned_Data!C287="South",1,0)</f>
        <v>0</v>
      </c>
      <c r="C288" s="15">
        <f>IF(Cleaned_Data!C287="East",1,0)</f>
        <v>0</v>
      </c>
      <c r="D288" s="6">
        <f>IF(Cleaned_Data!D287="Airport",1,0)</f>
        <v>0</v>
      </c>
      <c r="E288" s="5">
        <f>IF(Cleaned_Data!D287="High Street",1,0)</f>
        <v>0</v>
      </c>
      <c r="F288" s="7">
        <f>IF(Cleaned_Data!D287="Residential",1,0)</f>
        <v>1</v>
      </c>
    </row>
    <row r="289" spans="1:6">
      <c r="A289" s="6">
        <f>IF(Cleaned_Data!C288="North",1,0)</f>
        <v>0</v>
      </c>
      <c r="B289" s="5">
        <f>IF(Cleaned_Data!C288="South",1,0)</f>
        <v>0</v>
      </c>
      <c r="C289" s="15">
        <f>IF(Cleaned_Data!C288="East",1,0)</f>
        <v>0</v>
      </c>
      <c r="D289" s="6">
        <f>IF(Cleaned_Data!D288="Airport",1,0)</f>
        <v>0</v>
      </c>
      <c r="E289" s="5">
        <f>IF(Cleaned_Data!D288="High Street",1,0)</f>
        <v>0</v>
      </c>
      <c r="F289" s="7">
        <f>IF(Cleaned_Data!D288="Residential",1,0)</f>
        <v>1</v>
      </c>
    </row>
    <row r="290" spans="1:6">
      <c r="A290" s="6">
        <f>IF(Cleaned_Data!C289="North",1,0)</f>
        <v>0</v>
      </c>
      <c r="B290" s="5">
        <f>IF(Cleaned_Data!C289="South",1,0)</f>
        <v>0</v>
      </c>
      <c r="C290" s="15">
        <f>IF(Cleaned_Data!C289="East",1,0)</f>
        <v>0</v>
      </c>
      <c r="D290" s="6">
        <f>IF(Cleaned_Data!D289="Airport",1,0)</f>
        <v>0</v>
      </c>
      <c r="E290" s="5">
        <f>IF(Cleaned_Data!D289="High Street",1,0)</f>
        <v>0</v>
      </c>
      <c r="F290" s="7">
        <f>IF(Cleaned_Data!D289="Residential",1,0)</f>
        <v>1</v>
      </c>
    </row>
    <row r="291" spans="1:6">
      <c r="A291" s="6">
        <f>IF(Cleaned_Data!C290="North",1,0)</f>
        <v>0</v>
      </c>
      <c r="B291" s="5">
        <f>IF(Cleaned_Data!C290="South",1,0)</f>
        <v>0</v>
      </c>
      <c r="C291" s="15">
        <f>IF(Cleaned_Data!C290="East",1,0)</f>
        <v>1</v>
      </c>
      <c r="D291" s="6">
        <f>IF(Cleaned_Data!D290="Airport",1,0)</f>
        <v>0</v>
      </c>
      <c r="E291" s="5">
        <f>IF(Cleaned_Data!D290="High Street",1,0)</f>
        <v>0</v>
      </c>
      <c r="F291" s="7">
        <f>IF(Cleaned_Data!D290="Residential",1,0)</f>
        <v>1</v>
      </c>
    </row>
    <row r="292" spans="1:6">
      <c r="A292" s="6">
        <f>IF(Cleaned_Data!C291="North",1,0)</f>
        <v>0</v>
      </c>
      <c r="B292" s="5">
        <f>IF(Cleaned_Data!C291="South",1,0)</f>
        <v>0</v>
      </c>
      <c r="C292" s="15">
        <f>IF(Cleaned_Data!C291="East",1,0)</f>
        <v>1</v>
      </c>
      <c r="D292" s="6">
        <f>IF(Cleaned_Data!D291="Airport",1,0)</f>
        <v>0</v>
      </c>
      <c r="E292" s="5">
        <f>IF(Cleaned_Data!D291="High Street",1,0)</f>
        <v>0</v>
      </c>
      <c r="F292" s="7">
        <f>IF(Cleaned_Data!D291="Residential",1,0)</f>
        <v>1</v>
      </c>
    </row>
    <row r="293" spans="1:6">
      <c r="A293" s="6">
        <f>IF(Cleaned_Data!C292="North",1,0)</f>
        <v>0</v>
      </c>
      <c r="B293" s="5">
        <f>IF(Cleaned_Data!C292="South",1,0)</f>
        <v>0</v>
      </c>
      <c r="C293" s="15">
        <f>IF(Cleaned_Data!C292="East",1,0)</f>
        <v>1</v>
      </c>
      <c r="D293" s="6">
        <f>IF(Cleaned_Data!D292="Airport",1,0)</f>
        <v>0</v>
      </c>
      <c r="E293" s="5">
        <f>IF(Cleaned_Data!D292="High Street",1,0)</f>
        <v>0</v>
      </c>
      <c r="F293" s="7">
        <f>IF(Cleaned_Data!D292="Residential",1,0)</f>
        <v>1</v>
      </c>
    </row>
    <row r="294" spans="1:6">
      <c r="A294" s="6">
        <f>IF(Cleaned_Data!C293="North",1,0)</f>
        <v>0</v>
      </c>
      <c r="B294" s="5">
        <f>IF(Cleaned_Data!C293="South",1,0)</f>
        <v>0</v>
      </c>
      <c r="C294" s="15">
        <f>IF(Cleaned_Data!C293="East",1,0)</f>
        <v>1</v>
      </c>
      <c r="D294" s="6">
        <f>IF(Cleaned_Data!D293="Airport",1,0)</f>
        <v>0</v>
      </c>
      <c r="E294" s="5">
        <f>IF(Cleaned_Data!D293="High Street",1,0)</f>
        <v>0</v>
      </c>
      <c r="F294" s="7">
        <f>IF(Cleaned_Data!D293="Residential",1,0)</f>
        <v>1</v>
      </c>
    </row>
    <row r="295" spans="1:6">
      <c r="A295" s="6">
        <f>IF(Cleaned_Data!C294="North",1,0)</f>
        <v>0</v>
      </c>
      <c r="B295" s="5">
        <f>IF(Cleaned_Data!C294="South",1,0)</f>
        <v>0</v>
      </c>
      <c r="C295" s="15">
        <f>IF(Cleaned_Data!C294="East",1,0)</f>
        <v>0</v>
      </c>
      <c r="D295" s="6">
        <f>IF(Cleaned_Data!D294="Airport",1,0)</f>
        <v>0</v>
      </c>
      <c r="E295" s="5">
        <f>IF(Cleaned_Data!D294="High Street",1,0)</f>
        <v>1</v>
      </c>
      <c r="F295" s="7">
        <f>IF(Cleaned_Data!D294="Residential",1,0)</f>
        <v>0</v>
      </c>
    </row>
    <row r="296" spans="1:6">
      <c r="A296" s="6">
        <f>IF(Cleaned_Data!C295="North",1,0)</f>
        <v>0</v>
      </c>
      <c r="B296" s="5">
        <f>IF(Cleaned_Data!C295="South",1,0)</f>
        <v>0</v>
      </c>
      <c r="C296" s="15">
        <f>IF(Cleaned_Data!C295="East",1,0)</f>
        <v>0</v>
      </c>
      <c r="D296" s="6">
        <f>IF(Cleaned_Data!D295="Airport",1,0)</f>
        <v>0</v>
      </c>
      <c r="E296" s="5">
        <f>IF(Cleaned_Data!D295="High Street",1,0)</f>
        <v>1</v>
      </c>
      <c r="F296" s="7">
        <f>IF(Cleaned_Data!D295="Residential",1,0)</f>
        <v>0</v>
      </c>
    </row>
    <row r="297" spans="1:6">
      <c r="A297" s="6">
        <f>IF(Cleaned_Data!C296="North",1,0)</f>
        <v>0</v>
      </c>
      <c r="B297" s="5">
        <f>IF(Cleaned_Data!C296="South",1,0)</f>
        <v>0</v>
      </c>
      <c r="C297" s="15">
        <f>IF(Cleaned_Data!C296="East",1,0)</f>
        <v>0</v>
      </c>
      <c r="D297" s="6">
        <f>IF(Cleaned_Data!D296="Airport",1,0)</f>
        <v>0</v>
      </c>
      <c r="E297" s="5">
        <f>IF(Cleaned_Data!D296="High Street",1,0)</f>
        <v>1</v>
      </c>
      <c r="F297" s="7">
        <f>IF(Cleaned_Data!D296="Residential",1,0)</f>
        <v>0</v>
      </c>
    </row>
    <row r="298" spans="1:6">
      <c r="A298" s="6">
        <f>IF(Cleaned_Data!C297="North",1,0)</f>
        <v>0</v>
      </c>
      <c r="B298" s="5">
        <f>IF(Cleaned_Data!C297="South",1,0)</f>
        <v>0</v>
      </c>
      <c r="C298" s="15">
        <f>IF(Cleaned_Data!C297="East",1,0)</f>
        <v>0</v>
      </c>
      <c r="D298" s="6">
        <f>IF(Cleaned_Data!D297="Airport",1,0)</f>
        <v>0</v>
      </c>
      <c r="E298" s="5">
        <f>IF(Cleaned_Data!D297="High Street",1,0)</f>
        <v>1</v>
      </c>
      <c r="F298" s="7">
        <f>IF(Cleaned_Data!D297="Residential",1,0)</f>
        <v>0</v>
      </c>
    </row>
    <row r="299" spans="1:6">
      <c r="A299" s="6">
        <f>IF(Cleaned_Data!C298="North",1,0)</f>
        <v>0</v>
      </c>
      <c r="B299" s="5">
        <f>IF(Cleaned_Data!C298="South",1,0)</f>
        <v>0</v>
      </c>
      <c r="C299" s="15">
        <f>IF(Cleaned_Data!C298="East",1,0)</f>
        <v>0</v>
      </c>
      <c r="D299" s="6">
        <f>IF(Cleaned_Data!D298="Airport",1,0)</f>
        <v>0</v>
      </c>
      <c r="E299" s="5">
        <f>IF(Cleaned_Data!D298="High Street",1,0)</f>
        <v>1</v>
      </c>
      <c r="F299" s="7">
        <f>IF(Cleaned_Data!D298="Residential",1,0)</f>
        <v>0</v>
      </c>
    </row>
    <row r="300" spans="1:6">
      <c r="A300" s="6">
        <f>IF(Cleaned_Data!C299="North",1,0)</f>
        <v>0</v>
      </c>
      <c r="B300" s="5">
        <f>IF(Cleaned_Data!C299="South",1,0)</f>
        <v>0</v>
      </c>
      <c r="C300" s="15">
        <f>IF(Cleaned_Data!C299="East",1,0)</f>
        <v>0</v>
      </c>
      <c r="D300" s="6">
        <f>IF(Cleaned_Data!D299="Airport",1,0)</f>
        <v>0</v>
      </c>
      <c r="E300" s="5">
        <f>IF(Cleaned_Data!D299="High Street",1,0)</f>
        <v>1</v>
      </c>
      <c r="F300" s="7">
        <f>IF(Cleaned_Data!D299="Residential",1,0)</f>
        <v>0</v>
      </c>
    </row>
    <row r="301" spans="1:6">
      <c r="A301" s="6">
        <f>IF(Cleaned_Data!C300="North",1,0)</f>
        <v>0</v>
      </c>
      <c r="B301" s="5">
        <f>IF(Cleaned_Data!C300="South",1,0)</f>
        <v>0</v>
      </c>
      <c r="C301" s="15">
        <f>IF(Cleaned_Data!C300="East",1,0)</f>
        <v>0</v>
      </c>
      <c r="D301" s="6">
        <f>IF(Cleaned_Data!D300="Airport",1,0)</f>
        <v>0</v>
      </c>
      <c r="E301" s="5">
        <f>IF(Cleaned_Data!D300="High Street",1,0)</f>
        <v>1</v>
      </c>
      <c r="F301" s="7">
        <f>IF(Cleaned_Data!D300="Residential",1,0)</f>
        <v>0</v>
      </c>
    </row>
    <row r="302" spans="1:6">
      <c r="A302" s="6">
        <f>IF(Cleaned_Data!C301="North",1,0)</f>
        <v>0</v>
      </c>
      <c r="B302" s="5">
        <f>IF(Cleaned_Data!C301="South",1,0)</f>
        <v>0</v>
      </c>
      <c r="C302" s="15">
        <f>IF(Cleaned_Data!C301="East",1,0)</f>
        <v>0</v>
      </c>
      <c r="D302" s="6">
        <f>IF(Cleaned_Data!D301="Airport",1,0)</f>
        <v>0</v>
      </c>
      <c r="E302" s="5">
        <f>IF(Cleaned_Data!D301="High Street",1,0)</f>
        <v>1</v>
      </c>
      <c r="F302" s="7">
        <f>IF(Cleaned_Data!D301="Residential",1,0)</f>
        <v>0</v>
      </c>
    </row>
    <row r="303" spans="1:6">
      <c r="A303" s="6">
        <f>IF(Cleaned_Data!C302="North",1,0)</f>
        <v>1</v>
      </c>
      <c r="B303" s="5">
        <f>IF(Cleaned_Data!C302="South",1,0)</f>
        <v>0</v>
      </c>
      <c r="C303" s="15">
        <f>IF(Cleaned_Data!C302="East",1,0)</f>
        <v>0</v>
      </c>
      <c r="D303" s="6">
        <f>IF(Cleaned_Data!D302="Airport",1,0)</f>
        <v>0</v>
      </c>
      <c r="E303" s="5">
        <f>IF(Cleaned_Data!D302="High Street",1,0)</f>
        <v>0</v>
      </c>
      <c r="F303" s="7">
        <f>IF(Cleaned_Data!D302="Residential",1,0)</f>
        <v>0</v>
      </c>
    </row>
    <row r="304" spans="1:6">
      <c r="A304" s="6">
        <f>IF(Cleaned_Data!C303="North",1,0)</f>
        <v>1</v>
      </c>
      <c r="B304" s="5">
        <f>IF(Cleaned_Data!C303="South",1,0)</f>
        <v>0</v>
      </c>
      <c r="C304" s="15">
        <f>IF(Cleaned_Data!C303="East",1,0)</f>
        <v>0</v>
      </c>
      <c r="D304" s="6">
        <f>IF(Cleaned_Data!D303="Airport",1,0)</f>
        <v>0</v>
      </c>
      <c r="E304" s="5">
        <f>IF(Cleaned_Data!D303="High Street",1,0)</f>
        <v>0</v>
      </c>
      <c r="F304" s="7">
        <f>IF(Cleaned_Data!D303="Residential",1,0)</f>
        <v>0</v>
      </c>
    </row>
    <row r="305" spans="1:6">
      <c r="A305" s="6">
        <f>IF(Cleaned_Data!C304="North",1,0)</f>
        <v>1</v>
      </c>
      <c r="B305" s="5">
        <f>IF(Cleaned_Data!C304="South",1,0)</f>
        <v>0</v>
      </c>
      <c r="C305" s="15">
        <f>IF(Cleaned_Data!C304="East",1,0)</f>
        <v>0</v>
      </c>
      <c r="D305" s="6">
        <f>IF(Cleaned_Data!D304="Airport",1,0)</f>
        <v>0</v>
      </c>
      <c r="E305" s="5">
        <f>IF(Cleaned_Data!D304="High Street",1,0)</f>
        <v>0</v>
      </c>
      <c r="F305" s="7">
        <f>IF(Cleaned_Data!D304="Residential",1,0)</f>
        <v>0</v>
      </c>
    </row>
    <row r="306" spans="1:6">
      <c r="A306" s="6">
        <f>IF(Cleaned_Data!C305="North",1,0)</f>
        <v>1</v>
      </c>
      <c r="B306" s="5">
        <f>IF(Cleaned_Data!C305="South",1,0)</f>
        <v>0</v>
      </c>
      <c r="C306" s="15">
        <f>IF(Cleaned_Data!C305="East",1,0)</f>
        <v>0</v>
      </c>
      <c r="D306" s="6">
        <f>IF(Cleaned_Data!D305="Airport",1,0)</f>
        <v>0</v>
      </c>
      <c r="E306" s="5">
        <f>IF(Cleaned_Data!D305="High Street",1,0)</f>
        <v>0</v>
      </c>
      <c r="F306" s="7">
        <f>IF(Cleaned_Data!D305="Residential",1,0)</f>
        <v>0</v>
      </c>
    </row>
    <row r="307" spans="1:6">
      <c r="A307" s="6">
        <f>IF(Cleaned_Data!C306="North",1,0)</f>
        <v>0</v>
      </c>
      <c r="B307" s="5">
        <f>IF(Cleaned_Data!C306="South",1,0)</f>
        <v>1</v>
      </c>
      <c r="C307" s="15">
        <f>IF(Cleaned_Data!C306="East",1,0)</f>
        <v>0</v>
      </c>
      <c r="D307" s="6">
        <f>IF(Cleaned_Data!D306="Airport",1,0)</f>
        <v>0</v>
      </c>
      <c r="E307" s="5">
        <f>IF(Cleaned_Data!D306="High Street",1,0)</f>
        <v>0</v>
      </c>
      <c r="F307" s="7">
        <f>IF(Cleaned_Data!D306="Residential",1,0)</f>
        <v>1</v>
      </c>
    </row>
    <row r="308" spans="1:6">
      <c r="A308" s="6">
        <f>IF(Cleaned_Data!C307="North",1,0)</f>
        <v>0</v>
      </c>
      <c r="B308" s="5">
        <f>IF(Cleaned_Data!C307="South",1,0)</f>
        <v>1</v>
      </c>
      <c r="C308" s="15">
        <f>IF(Cleaned_Data!C307="East",1,0)</f>
        <v>0</v>
      </c>
      <c r="D308" s="6">
        <f>IF(Cleaned_Data!D307="Airport",1,0)</f>
        <v>0</v>
      </c>
      <c r="E308" s="5">
        <f>IF(Cleaned_Data!D307="High Street",1,0)</f>
        <v>0</v>
      </c>
      <c r="F308" s="7">
        <f>IF(Cleaned_Data!D307="Residential",1,0)</f>
        <v>1</v>
      </c>
    </row>
    <row r="309" spans="1:6">
      <c r="A309" s="6">
        <f>IF(Cleaned_Data!C308="North",1,0)</f>
        <v>0</v>
      </c>
      <c r="B309" s="5">
        <f>IF(Cleaned_Data!C308="South",1,0)</f>
        <v>1</v>
      </c>
      <c r="C309" s="15">
        <f>IF(Cleaned_Data!C308="East",1,0)</f>
        <v>0</v>
      </c>
      <c r="D309" s="6">
        <f>IF(Cleaned_Data!D308="Airport",1,0)</f>
        <v>0</v>
      </c>
      <c r="E309" s="5">
        <f>IF(Cleaned_Data!D308="High Street",1,0)</f>
        <v>0</v>
      </c>
      <c r="F309" s="7">
        <f>IF(Cleaned_Data!D308="Residential",1,0)</f>
        <v>1</v>
      </c>
    </row>
    <row r="310" spans="1:6">
      <c r="A310" s="6">
        <f>IF(Cleaned_Data!C309="North",1,0)</f>
        <v>0</v>
      </c>
      <c r="B310" s="5">
        <f>IF(Cleaned_Data!C309="South",1,0)</f>
        <v>1</v>
      </c>
      <c r="C310" s="15">
        <f>IF(Cleaned_Data!C309="East",1,0)</f>
        <v>0</v>
      </c>
      <c r="D310" s="6">
        <f>IF(Cleaned_Data!D309="Airport",1,0)</f>
        <v>0</v>
      </c>
      <c r="E310" s="5">
        <f>IF(Cleaned_Data!D309="High Street",1,0)</f>
        <v>0</v>
      </c>
      <c r="F310" s="7">
        <f>IF(Cleaned_Data!D309="Residential",1,0)</f>
        <v>1</v>
      </c>
    </row>
    <row r="311" spans="1:6">
      <c r="A311" s="6">
        <f>IF(Cleaned_Data!C310="North",1,0)</f>
        <v>0</v>
      </c>
      <c r="B311" s="5">
        <f>IF(Cleaned_Data!C310="South",1,0)</f>
        <v>1</v>
      </c>
      <c r="C311" s="15">
        <f>IF(Cleaned_Data!C310="East",1,0)</f>
        <v>0</v>
      </c>
      <c r="D311" s="6">
        <f>IF(Cleaned_Data!D310="Airport",1,0)</f>
        <v>0</v>
      </c>
      <c r="E311" s="5">
        <f>IF(Cleaned_Data!D310="High Street",1,0)</f>
        <v>1</v>
      </c>
      <c r="F311" s="7">
        <f>IF(Cleaned_Data!D310="Residential",1,0)</f>
        <v>0</v>
      </c>
    </row>
    <row r="312" spans="1:6">
      <c r="A312" s="6">
        <f>IF(Cleaned_Data!C311="North",1,0)</f>
        <v>0</v>
      </c>
      <c r="B312" s="5">
        <f>IF(Cleaned_Data!C311="South",1,0)</f>
        <v>1</v>
      </c>
      <c r="C312" s="15">
        <f>IF(Cleaned_Data!C311="East",1,0)</f>
        <v>0</v>
      </c>
      <c r="D312" s="6">
        <f>IF(Cleaned_Data!D311="Airport",1,0)</f>
        <v>0</v>
      </c>
      <c r="E312" s="5">
        <f>IF(Cleaned_Data!D311="High Street",1,0)</f>
        <v>1</v>
      </c>
      <c r="F312" s="7">
        <f>IF(Cleaned_Data!D311="Residential",1,0)</f>
        <v>0</v>
      </c>
    </row>
    <row r="313" spans="1:6">
      <c r="A313" s="6">
        <f>IF(Cleaned_Data!C312="North",1,0)</f>
        <v>0</v>
      </c>
      <c r="B313" s="5">
        <f>IF(Cleaned_Data!C312="South",1,0)</f>
        <v>1</v>
      </c>
      <c r="C313" s="15">
        <f>IF(Cleaned_Data!C312="East",1,0)</f>
        <v>0</v>
      </c>
      <c r="D313" s="6">
        <f>IF(Cleaned_Data!D312="Airport",1,0)</f>
        <v>0</v>
      </c>
      <c r="E313" s="5">
        <f>IF(Cleaned_Data!D312="High Street",1,0)</f>
        <v>1</v>
      </c>
      <c r="F313" s="7">
        <f>IF(Cleaned_Data!D312="Residential",1,0)</f>
        <v>0</v>
      </c>
    </row>
    <row r="314" spans="1:6">
      <c r="A314" s="6">
        <f>IF(Cleaned_Data!C313="North",1,0)</f>
        <v>0</v>
      </c>
      <c r="B314" s="5">
        <f>IF(Cleaned_Data!C313="South",1,0)</f>
        <v>1</v>
      </c>
      <c r="C314" s="15">
        <f>IF(Cleaned_Data!C313="East",1,0)</f>
        <v>0</v>
      </c>
      <c r="D314" s="6">
        <f>IF(Cleaned_Data!D313="Airport",1,0)</f>
        <v>0</v>
      </c>
      <c r="E314" s="5">
        <f>IF(Cleaned_Data!D313="High Street",1,0)</f>
        <v>1</v>
      </c>
      <c r="F314" s="7">
        <f>IF(Cleaned_Data!D313="Residential",1,0)</f>
        <v>0</v>
      </c>
    </row>
    <row r="315" spans="1:6">
      <c r="A315" s="6">
        <f>IF(Cleaned_Data!C314="North",1,0)</f>
        <v>1</v>
      </c>
      <c r="B315" s="5">
        <f>IF(Cleaned_Data!C314="South",1,0)</f>
        <v>0</v>
      </c>
      <c r="C315" s="15">
        <f>IF(Cleaned_Data!C314="East",1,0)</f>
        <v>0</v>
      </c>
      <c r="D315" s="6">
        <f>IF(Cleaned_Data!D314="Airport",1,0)</f>
        <v>0</v>
      </c>
      <c r="E315" s="5">
        <f>IF(Cleaned_Data!D314="High Street",1,0)</f>
        <v>0</v>
      </c>
      <c r="F315" s="7">
        <f>IF(Cleaned_Data!D314="Residential",1,0)</f>
        <v>1</v>
      </c>
    </row>
    <row r="316" spans="1:6">
      <c r="A316" s="6">
        <f>IF(Cleaned_Data!C315="North",1,0)</f>
        <v>1</v>
      </c>
      <c r="B316" s="5">
        <f>IF(Cleaned_Data!C315="South",1,0)</f>
        <v>0</v>
      </c>
      <c r="C316" s="15">
        <f>IF(Cleaned_Data!C315="East",1,0)</f>
        <v>0</v>
      </c>
      <c r="D316" s="6">
        <f>IF(Cleaned_Data!D315="Airport",1,0)</f>
        <v>0</v>
      </c>
      <c r="E316" s="5">
        <f>IF(Cleaned_Data!D315="High Street",1,0)</f>
        <v>0</v>
      </c>
      <c r="F316" s="7">
        <f>IF(Cleaned_Data!D315="Residential",1,0)</f>
        <v>1</v>
      </c>
    </row>
    <row r="317" spans="1:6">
      <c r="A317" s="6">
        <f>IF(Cleaned_Data!C316="North",1,0)</f>
        <v>1</v>
      </c>
      <c r="B317" s="5">
        <f>IF(Cleaned_Data!C316="South",1,0)</f>
        <v>0</v>
      </c>
      <c r="C317" s="15">
        <f>IF(Cleaned_Data!C316="East",1,0)</f>
        <v>0</v>
      </c>
      <c r="D317" s="6">
        <f>IF(Cleaned_Data!D316="Airport",1,0)</f>
        <v>0</v>
      </c>
      <c r="E317" s="5">
        <f>IF(Cleaned_Data!D316="High Street",1,0)</f>
        <v>0</v>
      </c>
      <c r="F317" s="7">
        <f>IF(Cleaned_Data!D316="Residential",1,0)</f>
        <v>1</v>
      </c>
    </row>
    <row r="318" spans="1:6">
      <c r="A318" s="6">
        <f>IF(Cleaned_Data!C317="North",1,0)</f>
        <v>1</v>
      </c>
      <c r="B318" s="5">
        <f>IF(Cleaned_Data!C317="South",1,0)</f>
        <v>0</v>
      </c>
      <c r="C318" s="15">
        <f>IF(Cleaned_Data!C317="East",1,0)</f>
        <v>0</v>
      </c>
      <c r="D318" s="6">
        <f>IF(Cleaned_Data!D317="Airport",1,0)</f>
        <v>0</v>
      </c>
      <c r="E318" s="5">
        <f>IF(Cleaned_Data!D317="High Street",1,0)</f>
        <v>0</v>
      </c>
      <c r="F318" s="7">
        <f>IF(Cleaned_Data!D317="Residential",1,0)</f>
        <v>1</v>
      </c>
    </row>
    <row r="319" spans="1:6">
      <c r="A319" s="6">
        <f>IF(Cleaned_Data!C318="North",1,0)</f>
        <v>0</v>
      </c>
      <c r="B319" s="5">
        <f>IF(Cleaned_Data!C318="South",1,0)</f>
        <v>0</v>
      </c>
      <c r="C319" s="15">
        <f>IF(Cleaned_Data!C318="East",1,0)</f>
        <v>1</v>
      </c>
      <c r="D319" s="6">
        <f>IF(Cleaned_Data!D318="Airport",1,0)</f>
        <v>0</v>
      </c>
      <c r="E319" s="5">
        <f>IF(Cleaned_Data!D318="High Street",1,0)</f>
        <v>0</v>
      </c>
      <c r="F319" s="7">
        <f>IF(Cleaned_Data!D318="Residential",1,0)</f>
        <v>1</v>
      </c>
    </row>
    <row r="320" spans="1:6">
      <c r="A320" s="6">
        <f>IF(Cleaned_Data!C319="North",1,0)</f>
        <v>0</v>
      </c>
      <c r="B320" s="5">
        <f>IF(Cleaned_Data!C319="South",1,0)</f>
        <v>0</v>
      </c>
      <c r="C320" s="15">
        <f>IF(Cleaned_Data!C319="East",1,0)</f>
        <v>1</v>
      </c>
      <c r="D320" s="6">
        <f>IF(Cleaned_Data!D319="Airport",1,0)</f>
        <v>0</v>
      </c>
      <c r="E320" s="5">
        <f>IF(Cleaned_Data!D319="High Street",1,0)</f>
        <v>0</v>
      </c>
      <c r="F320" s="7">
        <f>IF(Cleaned_Data!D319="Residential",1,0)</f>
        <v>1</v>
      </c>
    </row>
    <row r="321" spans="1:6">
      <c r="A321" s="6">
        <f>IF(Cleaned_Data!C320="North",1,0)</f>
        <v>0</v>
      </c>
      <c r="B321" s="5">
        <f>IF(Cleaned_Data!C320="South",1,0)</f>
        <v>0</v>
      </c>
      <c r="C321" s="15">
        <f>IF(Cleaned_Data!C320="East",1,0)</f>
        <v>1</v>
      </c>
      <c r="D321" s="6">
        <f>IF(Cleaned_Data!D320="Airport",1,0)</f>
        <v>0</v>
      </c>
      <c r="E321" s="5">
        <f>IF(Cleaned_Data!D320="High Street",1,0)</f>
        <v>0</v>
      </c>
      <c r="F321" s="7">
        <f>IF(Cleaned_Data!D320="Residential",1,0)</f>
        <v>1</v>
      </c>
    </row>
    <row r="322" spans="1:6" ht="15" thickBot="1">
      <c r="A322" s="8">
        <f>IF(Cleaned_Data!C321="North",1,0)</f>
        <v>0</v>
      </c>
      <c r="B322" s="9">
        <f>IF(Cleaned_Data!C321="South",1,0)</f>
        <v>0</v>
      </c>
      <c r="C322" s="16">
        <f>IF(Cleaned_Data!C321="East",1,0)</f>
        <v>1</v>
      </c>
      <c r="D322" s="8">
        <f>IF(Cleaned_Data!D321="Airport",1,0)</f>
        <v>0</v>
      </c>
      <c r="E322" s="9">
        <f>IF(Cleaned_Data!D321="High Street",1,0)</f>
        <v>0</v>
      </c>
      <c r="F322" s="10">
        <f>IF(Cleaned_Data!D321="Residential",1,0)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3801-6D64-44C5-89E0-AECDCFB3D015}">
  <dimension ref="A1:I49"/>
  <sheetViews>
    <sheetView topLeftCell="A25" zoomScale="77" zoomScaleNormal="77" workbookViewId="0">
      <selection activeCell="E22" sqref="E22"/>
    </sheetView>
  </sheetViews>
  <sheetFormatPr defaultRowHeight="14.5"/>
  <cols>
    <col min="1" max="1" width="22.1796875" customWidth="1"/>
    <col min="2" max="2" width="16.7265625" customWidth="1"/>
    <col min="3" max="3" width="14.90625" customWidth="1"/>
    <col min="4" max="4" width="8.54296875" customWidth="1"/>
    <col min="6" max="6" width="14.81640625" customWidth="1"/>
    <col min="7" max="7" width="12.81640625" customWidth="1"/>
    <col min="8" max="8" width="13.36328125" customWidth="1"/>
    <col min="9" max="9" width="15" customWidth="1"/>
  </cols>
  <sheetData>
    <row r="1" spans="1:6" ht="19" thickBot="1">
      <c r="A1" s="46" t="s">
        <v>143</v>
      </c>
      <c r="B1" s="45"/>
    </row>
    <row r="2" spans="1:6">
      <c r="A2" s="47" t="s">
        <v>144</v>
      </c>
      <c r="B2" s="48" t="s">
        <v>12</v>
      </c>
    </row>
    <row r="3" spans="1:6" ht="15" thickBot="1">
      <c r="A3" s="49" t="s">
        <v>145</v>
      </c>
      <c r="B3" s="50" t="s">
        <v>4</v>
      </c>
    </row>
    <row r="5" spans="1:6">
      <c r="A5" s="44" t="s">
        <v>112</v>
      </c>
    </row>
    <row r="6" spans="1:6" ht="15" thickBot="1"/>
    <row r="7" spans="1:6">
      <c r="A7" s="35" t="s">
        <v>113</v>
      </c>
      <c r="B7" s="36"/>
    </row>
    <row r="8" spans="1:6">
      <c r="A8" s="6" t="s">
        <v>114</v>
      </c>
      <c r="B8" s="26">
        <v>0.40895561021322352</v>
      </c>
    </row>
    <row r="9" spans="1:6">
      <c r="A9" s="6" t="s">
        <v>115</v>
      </c>
      <c r="B9" s="26">
        <v>0.16724469112487</v>
      </c>
    </row>
    <row r="10" spans="1:6">
      <c r="A10" s="6" t="s">
        <v>116</v>
      </c>
      <c r="B10" s="26">
        <v>0.16462596373847024</v>
      </c>
    </row>
    <row r="11" spans="1:6">
      <c r="A11" s="6" t="s">
        <v>117</v>
      </c>
      <c r="B11" s="26">
        <v>94846.03383215853</v>
      </c>
    </row>
    <row r="12" spans="1:6" ht="15" thickBot="1">
      <c r="A12" s="8" t="s">
        <v>118</v>
      </c>
      <c r="B12" s="27">
        <v>320</v>
      </c>
    </row>
    <row r="14" spans="1:6" ht="15" thickBot="1">
      <c r="A14" s="37" t="s">
        <v>119</v>
      </c>
    </row>
    <row r="15" spans="1:6">
      <c r="A15" s="28"/>
      <c r="B15" s="29" t="s">
        <v>124</v>
      </c>
      <c r="C15" s="29" t="s">
        <v>125</v>
      </c>
      <c r="D15" s="29" t="s">
        <v>126</v>
      </c>
      <c r="E15" s="29" t="s">
        <v>127</v>
      </c>
      <c r="F15" s="30" t="s">
        <v>128</v>
      </c>
    </row>
    <row r="16" spans="1:6">
      <c r="A16" s="6" t="s">
        <v>120</v>
      </c>
      <c r="B16" s="5">
        <v>1</v>
      </c>
      <c r="C16" s="5">
        <v>574513714277.01416</v>
      </c>
      <c r="D16" s="5">
        <v>574513714277.01416</v>
      </c>
      <c r="E16" s="5">
        <v>63.864872683367629</v>
      </c>
      <c r="F16" s="7">
        <v>2.4800615101359619E-14</v>
      </c>
    </row>
    <row r="17" spans="1:9">
      <c r="A17" s="6" t="s">
        <v>121</v>
      </c>
      <c r="B17" s="5">
        <v>318</v>
      </c>
      <c r="C17" s="5">
        <v>2860654902513.7251</v>
      </c>
      <c r="D17" s="5">
        <v>8995770133.6909599</v>
      </c>
      <c r="E17" s="5"/>
      <c r="F17" s="7"/>
    </row>
    <row r="18" spans="1:9" ht="15" thickBot="1">
      <c r="A18" s="8" t="s">
        <v>122</v>
      </c>
      <c r="B18" s="9">
        <v>319</v>
      </c>
      <c r="C18" s="9">
        <v>3435168616790.7393</v>
      </c>
      <c r="D18" s="9"/>
      <c r="E18" s="9"/>
      <c r="F18" s="10"/>
    </row>
    <row r="19" spans="1:9" ht="15" thickBot="1"/>
    <row r="20" spans="1:9">
      <c r="A20" s="28"/>
      <c r="B20" s="29" t="s">
        <v>129</v>
      </c>
      <c r="C20" s="29" t="s">
        <v>117</v>
      </c>
      <c r="D20" s="29" t="s">
        <v>130</v>
      </c>
      <c r="E20" s="29" t="s">
        <v>131</v>
      </c>
      <c r="F20" s="29" t="s">
        <v>132</v>
      </c>
      <c r="G20" s="29" t="s">
        <v>133</v>
      </c>
      <c r="H20" s="29" t="s">
        <v>134</v>
      </c>
      <c r="I20" s="30" t="s">
        <v>135</v>
      </c>
    </row>
    <row r="21" spans="1:9">
      <c r="A21" s="6" t="s">
        <v>123</v>
      </c>
      <c r="B21" s="5">
        <v>560777.34544943704</v>
      </c>
      <c r="C21" s="5">
        <v>15906.905953068674</v>
      </c>
      <c r="D21" s="5">
        <v>35.253703460870398</v>
      </c>
      <c r="E21" s="5">
        <v>6.952876876284135E-112</v>
      </c>
      <c r="F21" s="31">
        <v>529481.27234763221</v>
      </c>
      <c r="G21" s="31">
        <v>592073.41855124186</v>
      </c>
      <c r="H21" s="31">
        <v>529481.27234763221</v>
      </c>
      <c r="I21" s="32">
        <v>592073.41855124186</v>
      </c>
    </row>
    <row r="22" spans="1:9" ht="15" thickBot="1">
      <c r="A22" s="8" t="s">
        <v>4</v>
      </c>
      <c r="B22" s="9">
        <v>2.1295753275898281</v>
      </c>
      <c r="C22" s="9">
        <v>0.26647838106932348</v>
      </c>
      <c r="D22" s="9">
        <v>7.991550080138869</v>
      </c>
      <c r="E22" s="9">
        <v>2.4800615101360068E-14</v>
      </c>
      <c r="F22" s="33">
        <v>1.6052919176921738</v>
      </c>
      <c r="G22" s="33">
        <v>2.6538587374874822</v>
      </c>
      <c r="H22" s="33">
        <v>1.6052919176921738</v>
      </c>
      <c r="I22" s="34">
        <v>2.6538587374874822</v>
      </c>
    </row>
    <row r="27" spans="1:9" ht="21.5" thickBot="1">
      <c r="A27" s="51" t="s">
        <v>146</v>
      </c>
      <c r="B27" s="45"/>
    </row>
    <row r="28" spans="1:9">
      <c r="A28" s="52" t="s">
        <v>144</v>
      </c>
      <c r="B28" s="53" t="s">
        <v>147</v>
      </c>
    </row>
    <row r="29" spans="1:9" ht="15" thickBot="1">
      <c r="A29" s="39" t="s">
        <v>145</v>
      </c>
      <c r="B29" s="27" t="s">
        <v>148</v>
      </c>
    </row>
    <row r="32" spans="1:9">
      <c r="A32" s="44" t="s">
        <v>112</v>
      </c>
    </row>
    <row r="33" spans="1:9" ht="15" thickBot="1"/>
    <row r="34" spans="1:9">
      <c r="A34" s="35" t="s">
        <v>113</v>
      </c>
      <c r="B34" s="36"/>
    </row>
    <row r="35" spans="1:9">
      <c r="A35" s="6" t="s">
        <v>114</v>
      </c>
      <c r="B35" s="26">
        <v>0.85807070804410468</v>
      </c>
    </row>
    <row r="36" spans="1:9">
      <c r="A36" s="6" t="s">
        <v>115</v>
      </c>
      <c r="B36" s="26">
        <v>0.73628534000331114</v>
      </c>
    </row>
    <row r="37" spans="1:9">
      <c r="A37" s="6" t="s">
        <v>116</v>
      </c>
      <c r="B37" s="26">
        <v>0.73545604861967373</v>
      </c>
    </row>
    <row r="38" spans="1:9">
      <c r="A38" s="6" t="s">
        <v>117</v>
      </c>
      <c r="B38" s="26">
        <v>53373.736380790499</v>
      </c>
    </row>
    <row r="39" spans="1:9" ht="15" thickBot="1">
      <c r="A39" s="8" t="s">
        <v>118</v>
      </c>
      <c r="B39" s="27">
        <v>320</v>
      </c>
    </row>
    <row r="41" spans="1:9" ht="15" thickBot="1">
      <c r="A41" s="37" t="s">
        <v>119</v>
      </c>
    </row>
    <row r="42" spans="1:9">
      <c r="A42" s="28"/>
      <c r="B42" s="40" t="s">
        <v>124</v>
      </c>
      <c r="C42" s="40" t="s">
        <v>125</v>
      </c>
      <c r="D42" s="40" t="s">
        <v>126</v>
      </c>
      <c r="E42" s="40" t="s">
        <v>127</v>
      </c>
      <c r="F42" s="41" t="s">
        <v>128</v>
      </c>
    </row>
    <row r="43" spans="1:9">
      <c r="A43" s="38" t="s">
        <v>120</v>
      </c>
      <c r="B43" s="5">
        <v>1</v>
      </c>
      <c r="C43" s="5">
        <v>2529264292982.4736</v>
      </c>
      <c r="D43" s="5">
        <v>2529264292982.4736</v>
      </c>
      <c r="E43" s="5">
        <v>887.84877611276033</v>
      </c>
      <c r="F43" s="7">
        <v>4.7503615090053331E-94</v>
      </c>
    </row>
    <row r="44" spans="1:9">
      <c r="A44" s="38" t="s">
        <v>121</v>
      </c>
      <c r="B44" s="5">
        <v>318</v>
      </c>
      <c r="C44" s="5">
        <v>905904323808.26587</v>
      </c>
      <c r="D44" s="5">
        <v>2848755735.246119</v>
      </c>
      <c r="E44" s="5"/>
      <c r="F44" s="7"/>
    </row>
    <row r="45" spans="1:9" ht="15" thickBot="1">
      <c r="A45" s="39" t="s">
        <v>122</v>
      </c>
      <c r="B45" s="9">
        <v>319</v>
      </c>
      <c r="C45" s="9">
        <v>3435168616790.7393</v>
      </c>
      <c r="D45" s="9"/>
      <c r="E45" s="9"/>
      <c r="F45" s="10"/>
    </row>
    <row r="46" spans="1:9" ht="15" thickBot="1"/>
    <row r="47" spans="1:9">
      <c r="A47" s="28"/>
      <c r="B47" s="40" t="s">
        <v>129</v>
      </c>
      <c r="C47" s="40" t="s">
        <v>117</v>
      </c>
      <c r="D47" s="40" t="s">
        <v>130</v>
      </c>
      <c r="E47" s="40" t="s">
        <v>131</v>
      </c>
      <c r="F47" s="40" t="s">
        <v>132</v>
      </c>
      <c r="G47" s="40" t="s">
        <v>133</v>
      </c>
      <c r="H47" s="40" t="s">
        <v>134</v>
      </c>
      <c r="I47" s="41" t="s">
        <v>135</v>
      </c>
    </row>
    <row r="48" spans="1:9">
      <c r="A48" s="38" t="s">
        <v>123</v>
      </c>
      <c r="B48" s="5">
        <v>446410.58293395297</v>
      </c>
      <c r="C48" s="5">
        <v>8407.7382630059928</v>
      </c>
      <c r="D48" s="5">
        <v>53.095204556754318</v>
      </c>
      <c r="E48" s="5">
        <v>4.0862695711507226E-160</v>
      </c>
      <c r="F48" s="5">
        <v>429868.76191129786</v>
      </c>
      <c r="G48" s="5">
        <v>462952.40395660902</v>
      </c>
      <c r="H48" s="5">
        <v>429868.76191129786</v>
      </c>
      <c r="I48" s="7">
        <v>462952.40395660902</v>
      </c>
    </row>
    <row r="49" spans="1:9" ht="15" thickBot="1">
      <c r="A49" s="39" t="s">
        <v>5</v>
      </c>
      <c r="B49" s="9">
        <v>35.678031072640458</v>
      </c>
      <c r="C49" s="9">
        <v>1.1973782890340821</v>
      </c>
      <c r="D49" s="9">
        <v>29.796791372776362</v>
      </c>
      <c r="E49" s="9">
        <v>4.7503615090054677E-94</v>
      </c>
      <c r="F49" s="42">
        <v>33.322246825554025</v>
      </c>
      <c r="G49" s="42">
        <v>38.033815319726891</v>
      </c>
      <c r="H49" s="42">
        <v>33.322246825554025</v>
      </c>
      <c r="I49" s="43">
        <v>38.033815319726891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D027-2B67-441C-9BD4-94C417D407D0}">
  <dimension ref="A1:U353"/>
  <sheetViews>
    <sheetView topLeftCell="F1" zoomScale="65" zoomScaleNormal="65" workbookViewId="0">
      <selection activeCell="L9" sqref="L9"/>
    </sheetView>
  </sheetViews>
  <sheetFormatPr defaultRowHeight="14.5"/>
  <cols>
    <col min="1" max="1" width="20" customWidth="1"/>
    <col min="2" max="2" width="26.81640625" customWidth="1"/>
    <col min="3" max="3" width="17.6328125" customWidth="1"/>
    <col min="4" max="4" width="31.6328125" customWidth="1"/>
    <col min="5" max="6" width="19.453125" customWidth="1"/>
    <col min="7" max="7" width="22.81640625" customWidth="1"/>
    <col min="8" max="8" width="26.08984375" customWidth="1"/>
    <col min="9" max="9" width="23.54296875" customWidth="1"/>
    <col min="10" max="10" width="21.90625" customWidth="1"/>
    <col min="11" max="11" width="16.1796875" customWidth="1"/>
    <col min="12" max="12" width="12.36328125" customWidth="1"/>
    <col min="13" max="13" width="24.54296875" customWidth="1"/>
    <col min="14" max="14" width="25.1796875" customWidth="1"/>
    <col min="15" max="15" width="13.7265625" customWidth="1"/>
    <col min="16" max="16" width="15" customWidth="1"/>
    <col min="17" max="17" width="12.81640625" customWidth="1"/>
    <col min="18" max="18" width="15" customWidth="1"/>
    <col min="19" max="19" width="14.08984375" customWidth="1"/>
    <col min="20" max="20" width="18.54296875" customWidth="1"/>
    <col min="21" max="21" width="13.54296875" customWidth="1"/>
  </cols>
  <sheetData>
    <row r="1" spans="1:18" ht="21">
      <c r="A1" s="83" t="s">
        <v>149</v>
      </c>
      <c r="B1" s="54"/>
      <c r="C1" s="54"/>
      <c r="D1" s="54"/>
    </row>
    <row r="2" spans="1:18" ht="18.5">
      <c r="A2" s="55" t="s">
        <v>12</v>
      </c>
      <c r="B2" s="55" t="s">
        <v>4</v>
      </c>
      <c r="C2" s="55" t="s">
        <v>5</v>
      </c>
      <c r="D2" s="55" t="s">
        <v>8</v>
      </c>
      <c r="E2" s="55" t="s">
        <v>104</v>
      </c>
      <c r="F2" s="55" t="s">
        <v>105</v>
      </c>
      <c r="G2" s="55" t="s">
        <v>106</v>
      </c>
      <c r="H2" s="55" t="s">
        <v>109</v>
      </c>
      <c r="I2" s="55" t="s">
        <v>110</v>
      </c>
      <c r="J2" s="55" t="s">
        <v>111</v>
      </c>
      <c r="M2" s="59" t="s">
        <v>112</v>
      </c>
    </row>
    <row r="3" spans="1:18" ht="15" thickBot="1">
      <c r="A3" s="5">
        <v>658832.62</v>
      </c>
      <c r="B3" s="5">
        <v>70389.11</v>
      </c>
      <c r="C3" s="5">
        <v>8302</v>
      </c>
      <c r="D3" s="5">
        <v>75</v>
      </c>
      <c r="E3" s="5">
        <v>0</v>
      </c>
      <c r="F3" s="5">
        <v>0</v>
      </c>
      <c r="G3" s="5">
        <v>1</v>
      </c>
      <c r="H3" s="5">
        <v>0</v>
      </c>
      <c r="I3" s="5">
        <v>0</v>
      </c>
      <c r="J3" s="5">
        <v>1</v>
      </c>
    </row>
    <row r="4" spans="1:18">
      <c r="A4" s="5">
        <v>634436</v>
      </c>
      <c r="B4" s="5">
        <v>43827.89</v>
      </c>
      <c r="C4" s="5">
        <v>8487</v>
      </c>
      <c r="D4" s="5">
        <v>84.4</v>
      </c>
      <c r="E4" s="5">
        <v>0</v>
      </c>
      <c r="F4" s="5">
        <v>0</v>
      </c>
      <c r="G4" s="5">
        <v>1</v>
      </c>
      <c r="H4" s="5">
        <v>0</v>
      </c>
      <c r="I4" s="5">
        <v>0</v>
      </c>
      <c r="J4" s="5">
        <v>1</v>
      </c>
      <c r="M4" s="60" t="s">
        <v>113</v>
      </c>
      <c r="N4" s="61"/>
    </row>
    <row r="5" spans="1:18">
      <c r="A5" s="5">
        <v>678722.06</v>
      </c>
      <c r="B5" s="5">
        <v>59921.75</v>
      </c>
      <c r="C5" s="5">
        <v>9113</v>
      </c>
      <c r="D5" s="5">
        <v>88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1</v>
      </c>
      <c r="M5" s="6" t="s">
        <v>114</v>
      </c>
      <c r="N5" s="81">
        <v>0.90930002250085473</v>
      </c>
    </row>
    <row r="6" spans="1:18">
      <c r="A6" s="5">
        <v>658920.30000000005</v>
      </c>
      <c r="B6" s="5">
        <v>56856.63</v>
      </c>
      <c r="C6" s="5">
        <v>9431</v>
      </c>
      <c r="D6" s="5">
        <v>86.9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1</v>
      </c>
      <c r="M6" s="6" t="s">
        <v>115</v>
      </c>
      <c r="N6" s="81">
        <v>0.82682653092005487</v>
      </c>
    </row>
    <row r="7" spans="1:18">
      <c r="A7" s="5">
        <v>741341.44</v>
      </c>
      <c r="B7" s="5">
        <v>48412.639999999999</v>
      </c>
      <c r="C7" s="5">
        <v>9545</v>
      </c>
      <c r="D7" s="5">
        <v>97.6</v>
      </c>
      <c r="E7" s="5">
        <v>0</v>
      </c>
      <c r="F7" s="5">
        <v>0</v>
      </c>
      <c r="G7" s="5">
        <v>1</v>
      </c>
      <c r="H7" s="5">
        <v>0</v>
      </c>
      <c r="I7" s="5">
        <v>1</v>
      </c>
      <c r="J7" s="5">
        <v>0</v>
      </c>
      <c r="M7" s="6" t="s">
        <v>116</v>
      </c>
      <c r="N7" s="81">
        <v>0.82179891407579841</v>
      </c>
    </row>
    <row r="8" spans="1:18">
      <c r="A8" s="5">
        <v>761835.34</v>
      </c>
      <c r="B8" s="5">
        <v>64811.21</v>
      </c>
      <c r="C8" s="5">
        <v>9792</v>
      </c>
      <c r="D8" s="5">
        <v>84.2</v>
      </c>
      <c r="E8" s="5">
        <v>0</v>
      </c>
      <c r="F8" s="5">
        <v>0</v>
      </c>
      <c r="G8" s="5">
        <v>1</v>
      </c>
      <c r="H8" s="5">
        <v>0</v>
      </c>
      <c r="I8" s="5">
        <v>1</v>
      </c>
      <c r="J8" s="5">
        <v>0</v>
      </c>
      <c r="M8" s="6" t="s">
        <v>117</v>
      </c>
      <c r="N8" s="82">
        <v>43806.026476119478</v>
      </c>
    </row>
    <row r="9" spans="1:18" ht="15" thickBot="1">
      <c r="A9" s="5">
        <v>806615.54</v>
      </c>
      <c r="B9" s="5">
        <v>46213.45</v>
      </c>
      <c r="C9" s="5">
        <v>10616</v>
      </c>
      <c r="D9" s="5">
        <v>85.2</v>
      </c>
      <c r="E9" s="5">
        <v>0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M9" s="8" t="s">
        <v>118</v>
      </c>
      <c r="N9" s="27">
        <v>320</v>
      </c>
    </row>
    <row r="10" spans="1:18" ht="15" thickBot="1">
      <c r="A10" s="5">
        <v>850164.26</v>
      </c>
      <c r="B10" s="5">
        <v>68148.52</v>
      </c>
      <c r="C10" s="5">
        <v>8567</v>
      </c>
      <c r="D10" s="5">
        <v>95.6</v>
      </c>
      <c r="E10" s="5">
        <v>0</v>
      </c>
      <c r="F10" s="5">
        <v>0</v>
      </c>
      <c r="G10" s="5">
        <v>1</v>
      </c>
      <c r="H10" s="5">
        <v>0</v>
      </c>
      <c r="I10" s="5">
        <v>1</v>
      </c>
      <c r="J10" s="5">
        <v>0</v>
      </c>
    </row>
    <row r="11" spans="1:18" ht="15" thickBot="1">
      <c r="A11" s="5">
        <v>930581.7</v>
      </c>
      <c r="B11" s="5">
        <v>71838.86</v>
      </c>
      <c r="C11" s="5">
        <v>10979</v>
      </c>
      <c r="D11" s="5">
        <v>88.6</v>
      </c>
      <c r="E11" s="5">
        <v>1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M11" s="64" t="s">
        <v>119</v>
      </c>
    </row>
    <row r="12" spans="1:18">
      <c r="A12" s="5">
        <v>779010.94</v>
      </c>
      <c r="B12" s="5">
        <v>68133.440000000002</v>
      </c>
      <c r="C12" s="5">
        <v>9459</v>
      </c>
      <c r="D12" s="5">
        <v>85</v>
      </c>
      <c r="E12" s="5">
        <v>1</v>
      </c>
      <c r="F12" s="5">
        <v>0</v>
      </c>
      <c r="G12" s="5">
        <v>0</v>
      </c>
      <c r="H12" s="5">
        <v>1</v>
      </c>
      <c r="I12" s="5">
        <v>0</v>
      </c>
      <c r="J12" s="5">
        <v>0</v>
      </c>
      <c r="M12" s="63"/>
      <c r="N12" s="40" t="s">
        <v>124</v>
      </c>
      <c r="O12" s="40" t="s">
        <v>125</v>
      </c>
      <c r="P12" s="40" t="s">
        <v>126</v>
      </c>
      <c r="Q12" s="40" t="s">
        <v>127</v>
      </c>
      <c r="R12" s="41" t="s">
        <v>128</v>
      </c>
    </row>
    <row r="13" spans="1:18">
      <c r="A13" s="5">
        <v>723060.76</v>
      </c>
      <c r="B13" s="5">
        <v>34285.21</v>
      </c>
      <c r="C13" s="5">
        <v>9172</v>
      </c>
      <c r="D13" s="5">
        <v>88.3</v>
      </c>
      <c r="E13" s="5">
        <v>1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M13" s="38" t="s">
        <v>120</v>
      </c>
      <c r="N13" s="5">
        <v>9</v>
      </c>
      <c r="O13" s="5">
        <v>2840288550546.5303</v>
      </c>
      <c r="P13" s="5">
        <v>315587616727.39227</v>
      </c>
      <c r="Q13" s="5">
        <v>164.45694979016113</v>
      </c>
      <c r="R13" s="7">
        <v>1.9952519746020723E-112</v>
      </c>
    </row>
    <row r="14" spans="1:18">
      <c r="A14" s="5">
        <v>910791.94</v>
      </c>
      <c r="B14" s="5">
        <v>67979.88</v>
      </c>
      <c r="C14" s="5">
        <v>11230</v>
      </c>
      <c r="D14" s="5">
        <v>85.3</v>
      </c>
      <c r="E14" s="5">
        <v>1</v>
      </c>
      <c r="F14" s="5">
        <v>0</v>
      </c>
      <c r="G14" s="5">
        <v>0</v>
      </c>
      <c r="H14" s="5">
        <v>1</v>
      </c>
      <c r="I14" s="5">
        <v>0</v>
      </c>
      <c r="J14" s="5">
        <v>0</v>
      </c>
      <c r="M14" s="38" t="s">
        <v>121</v>
      </c>
      <c r="N14" s="5">
        <v>310</v>
      </c>
      <c r="O14" s="5">
        <v>594880066244.20898</v>
      </c>
      <c r="P14" s="5">
        <v>1918967955.6264806</v>
      </c>
      <c r="Q14" s="5"/>
      <c r="R14" s="7"/>
    </row>
    <row r="15" spans="1:18" ht="15" thickBot="1">
      <c r="A15" s="5">
        <v>922168.6</v>
      </c>
      <c r="B15" s="5">
        <v>71828.259999999995</v>
      </c>
      <c r="C15" s="5">
        <v>12775</v>
      </c>
      <c r="D15" s="5">
        <v>81.7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1</v>
      </c>
      <c r="M15" s="39" t="s">
        <v>122</v>
      </c>
      <c r="N15" s="9">
        <v>319</v>
      </c>
      <c r="O15" s="9">
        <v>3435168616790.7393</v>
      </c>
      <c r="P15" s="9"/>
      <c r="Q15" s="9"/>
      <c r="R15" s="10"/>
    </row>
    <row r="16" spans="1:18">
      <c r="A16" s="5">
        <v>726606.28</v>
      </c>
      <c r="B16" s="5">
        <v>55716.82</v>
      </c>
      <c r="C16" s="5">
        <v>10054</v>
      </c>
      <c r="D16" s="5">
        <v>84.9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1</v>
      </c>
    </row>
    <row r="17" spans="1:21">
      <c r="A17" s="5">
        <v>746501.09</v>
      </c>
      <c r="B17" s="5">
        <v>59909.51</v>
      </c>
      <c r="C17" s="5">
        <v>8895</v>
      </c>
      <c r="D17" s="5">
        <v>88.8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1</v>
      </c>
      <c r="M17" s="57"/>
      <c r="N17" s="58" t="s">
        <v>129</v>
      </c>
      <c r="O17" s="58" t="s">
        <v>117</v>
      </c>
      <c r="P17" s="58" t="s">
        <v>130</v>
      </c>
      <c r="Q17" s="58" t="s">
        <v>131</v>
      </c>
      <c r="R17" s="58" t="s">
        <v>132</v>
      </c>
      <c r="S17" s="58" t="s">
        <v>133</v>
      </c>
      <c r="T17" s="58" t="s">
        <v>134</v>
      </c>
      <c r="U17" s="58" t="s">
        <v>135</v>
      </c>
    </row>
    <row r="18" spans="1:21">
      <c r="A18" s="5">
        <v>834017.02</v>
      </c>
      <c r="B18" s="5">
        <v>75305.710000000006</v>
      </c>
      <c r="C18" s="5">
        <v>10940</v>
      </c>
      <c r="D18" s="5">
        <v>76.5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1</v>
      </c>
      <c r="M18" s="56" t="s">
        <v>123</v>
      </c>
      <c r="N18" s="5">
        <v>150574.38051914828</v>
      </c>
      <c r="O18" s="5">
        <v>42373.193995133188</v>
      </c>
      <c r="P18" s="5">
        <v>3.5535291613004825</v>
      </c>
      <c r="Q18" s="5">
        <v>4.3927018062669157E-4</v>
      </c>
      <c r="R18" s="5">
        <v>67198.937865311367</v>
      </c>
      <c r="S18" s="5">
        <v>233949.8231729852</v>
      </c>
      <c r="T18" s="5">
        <v>67198.937865311367</v>
      </c>
      <c r="U18" s="5">
        <v>233949.8231729852</v>
      </c>
    </row>
    <row r="19" spans="1:21">
      <c r="A19" s="5">
        <v>666152.52</v>
      </c>
      <c r="B19" s="5">
        <v>48804.22</v>
      </c>
      <c r="C19" s="5">
        <v>7057</v>
      </c>
      <c r="D19" s="5">
        <v>87.7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1</v>
      </c>
      <c r="M19" s="56" t="s">
        <v>4</v>
      </c>
      <c r="N19" s="5">
        <v>1.188357955167703</v>
      </c>
      <c r="O19" s="5">
        <v>0.12683056953781593</v>
      </c>
      <c r="P19" s="5">
        <v>9.3696492848546349</v>
      </c>
      <c r="Q19" s="5">
        <v>1.5627412146557387E-18</v>
      </c>
      <c r="R19" s="5">
        <v>0.93880030137204629</v>
      </c>
      <c r="S19" s="5">
        <v>1.4379156089633598</v>
      </c>
      <c r="T19" s="5">
        <v>0.93880030137204629</v>
      </c>
      <c r="U19" s="5">
        <v>1.4379156089633598</v>
      </c>
    </row>
    <row r="20" spans="1:21">
      <c r="A20" s="5">
        <v>573155.18999999994</v>
      </c>
      <c r="B20" s="5">
        <v>59117.9</v>
      </c>
      <c r="C20" s="5">
        <v>4263</v>
      </c>
      <c r="D20" s="5">
        <v>87.6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1</v>
      </c>
      <c r="M20" s="56" t="s">
        <v>5</v>
      </c>
      <c r="N20" s="5">
        <v>33.859812939366236</v>
      </c>
      <c r="O20" s="5">
        <v>1.0245697922025003</v>
      </c>
      <c r="P20" s="5">
        <v>33.04783451264786</v>
      </c>
      <c r="Q20" s="5">
        <v>1.3099041406677286E-103</v>
      </c>
      <c r="R20" s="5">
        <v>31.843822358990241</v>
      </c>
      <c r="S20" s="5">
        <v>35.875803519742234</v>
      </c>
      <c r="T20" s="5">
        <v>31.843822358990241</v>
      </c>
      <c r="U20" s="5">
        <v>35.875803519742234</v>
      </c>
    </row>
    <row r="21" spans="1:21">
      <c r="A21" s="5">
        <v>666573.19999999995</v>
      </c>
      <c r="B21" s="5">
        <v>78831.12</v>
      </c>
      <c r="C21" s="5">
        <v>5538</v>
      </c>
      <c r="D21" s="5">
        <v>94.1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1</v>
      </c>
      <c r="M21" s="56" t="s">
        <v>8</v>
      </c>
      <c r="N21" s="5">
        <v>2961.2706460730069</v>
      </c>
      <c r="O21" s="5">
        <v>461.15507677432208</v>
      </c>
      <c r="P21" s="5">
        <v>6.4214204618247752</v>
      </c>
      <c r="Q21" s="5">
        <v>5.0658091844882634E-10</v>
      </c>
      <c r="R21" s="5">
        <v>2053.8807367227855</v>
      </c>
      <c r="S21" s="5">
        <v>3868.6605554232283</v>
      </c>
      <c r="T21" s="5">
        <v>2053.8807367227855</v>
      </c>
      <c r="U21" s="5">
        <v>3868.6605554232283</v>
      </c>
    </row>
    <row r="22" spans="1:21">
      <c r="A22" s="5">
        <v>591619.94999999995</v>
      </c>
      <c r="B22" s="5">
        <v>41441.93</v>
      </c>
      <c r="C22" s="5">
        <v>4865</v>
      </c>
      <c r="D22" s="5">
        <v>88.3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1</v>
      </c>
      <c r="M22" s="56" t="s">
        <v>104</v>
      </c>
      <c r="N22" s="5">
        <v>-10576.286179603689</v>
      </c>
      <c r="O22" s="5">
        <v>7214.2161410413746</v>
      </c>
      <c r="P22" s="5">
        <v>-1.4660340046419789</v>
      </c>
      <c r="Q22" s="5">
        <v>0.14365261375198152</v>
      </c>
      <c r="R22" s="5">
        <v>-24771.309198847041</v>
      </c>
      <c r="S22" s="5">
        <v>3618.7368396396632</v>
      </c>
      <c r="T22" s="5">
        <v>-24771.309198847041</v>
      </c>
      <c r="U22" s="5">
        <v>3618.7368396396632</v>
      </c>
    </row>
    <row r="23" spans="1:21">
      <c r="A23" s="5">
        <v>415721.82</v>
      </c>
      <c r="B23" s="5">
        <v>30356.28</v>
      </c>
      <c r="C23" s="5">
        <v>2822</v>
      </c>
      <c r="D23" s="5">
        <v>84.8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M23" s="56" t="s">
        <v>105</v>
      </c>
      <c r="N23" s="5">
        <v>1313.3957208498368</v>
      </c>
      <c r="O23" s="5">
        <v>7324.4759103471297</v>
      </c>
      <c r="P23" s="5">
        <v>0.1793159997965767</v>
      </c>
      <c r="Q23" s="5">
        <v>0.85780672841027439</v>
      </c>
      <c r="R23" s="5">
        <v>-13098.579484575966</v>
      </c>
      <c r="S23" s="5">
        <v>15725.370926275642</v>
      </c>
      <c r="T23" s="5">
        <v>-13098.579484575966</v>
      </c>
      <c r="U23" s="5">
        <v>15725.370926275642</v>
      </c>
    </row>
    <row r="24" spans="1:21">
      <c r="A24" s="5">
        <v>491905.13</v>
      </c>
      <c r="B24" s="5">
        <v>33518.879999999997</v>
      </c>
      <c r="C24" s="5">
        <v>2121</v>
      </c>
      <c r="D24" s="5">
        <v>88.5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1</v>
      </c>
      <c r="M24" s="56" t="s">
        <v>106</v>
      </c>
      <c r="N24" s="5">
        <v>-18934.817475195327</v>
      </c>
      <c r="O24" s="5">
        <v>6320.2240702658873</v>
      </c>
      <c r="P24" s="5">
        <v>-2.995909205858069</v>
      </c>
      <c r="Q24" s="5">
        <v>2.9570732346657974E-3</v>
      </c>
      <c r="R24" s="5">
        <v>-31370.780636017633</v>
      </c>
      <c r="S24" s="5">
        <v>-6498.8543143730203</v>
      </c>
      <c r="T24" s="5">
        <v>-31370.780636017633</v>
      </c>
      <c r="U24" s="5">
        <v>-6498.8543143730203</v>
      </c>
    </row>
    <row r="25" spans="1:21">
      <c r="A25" s="5">
        <v>555929.4</v>
      </c>
      <c r="B25" s="5">
        <v>42267.37</v>
      </c>
      <c r="C25" s="5">
        <v>3364</v>
      </c>
      <c r="D25" s="5">
        <v>82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M25" s="56" t="s">
        <v>109</v>
      </c>
      <c r="N25" s="5">
        <v>10756.800549869335</v>
      </c>
      <c r="O25" s="5">
        <v>9733.0296571195104</v>
      </c>
      <c r="P25" s="5">
        <v>1.1051852227739754</v>
      </c>
      <c r="Q25" s="5">
        <v>0.26993634778422076</v>
      </c>
      <c r="R25" s="5">
        <v>-8394.3556296357274</v>
      </c>
      <c r="S25" s="5">
        <v>29907.956729374397</v>
      </c>
      <c r="T25" s="5">
        <v>-8394.3556296357274</v>
      </c>
      <c r="U25" s="5">
        <v>29907.956729374397</v>
      </c>
    </row>
    <row r="26" spans="1:21">
      <c r="A26" s="5">
        <v>565810.99</v>
      </c>
      <c r="B26" s="5">
        <v>62060.43</v>
      </c>
      <c r="C26" s="5">
        <v>2613</v>
      </c>
      <c r="D26" s="5">
        <v>92.1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M26" s="56" t="s">
        <v>110</v>
      </c>
      <c r="N26" s="5">
        <v>-12295.387024493095</v>
      </c>
      <c r="O26" s="5">
        <v>6551.5973626529149</v>
      </c>
      <c r="P26" s="5">
        <v>-1.8767006493076626</v>
      </c>
      <c r="Q26" s="5">
        <v>6.149831719789553E-2</v>
      </c>
      <c r="R26" s="5">
        <v>-25186.61090210866</v>
      </c>
      <c r="S26" s="5">
        <v>595.8368531224678</v>
      </c>
      <c r="T26" s="5">
        <v>-25186.61090210866</v>
      </c>
      <c r="U26" s="5">
        <v>595.8368531224678</v>
      </c>
    </row>
    <row r="27" spans="1:21">
      <c r="A27" s="5">
        <v>811771.14</v>
      </c>
      <c r="B27" s="5">
        <v>57696.69</v>
      </c>
      <c r="C27" s="5">
        <v>10218</v>
      </c>
      <c r="D27" s="5">
        <v>94.8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M27" s="56" t="s">
        <v>111</v>
      </c>
      <c r="N27" s="5">
        <v>-28871.871052287061</v>
      </c>
      <c r="O27" s="5">
        <v>6690.5720188854111</v>
      </c>
      <c r="P27" s="5">
        <v>-4.3153068184290841</v>
      </c>
      <c r="Q27" s="5">
        <v>2.1461503402809963E-5</v>
      </c>
      <c r="R27" s="5">
        <v>-42036.54784644179</v>
      </c>
      <c r="S27" s="5">
        <v>-15707.194258132329</v>
      </c>
      <c r="T27" s="5">
        <v>-42036.54784644179</v>
      </c>
      <c r="U27" s="5">
        <v>-15707.194258132329</v>
      </c>
    </row>
    <row r="28" spans="1:21">
      <c r="A28" s="5">
        <v>800451.94</v>
      </c>
      <c r="B28" s="5">
        <v>172415.52</v>
      </c>
      <c r="C28" s="5">
        <v>8927</v>
      </c>
      <c r="D28" s="5">
        <v>86.2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21">
      <c r="A29" s="5">
        <v>783672.82</v>
      </c>
      <c r="B29" s="5">
        <v>55270.52</v>
      </c>
      <c r="C29" s="5">
        <v>9315</v>
      </c>
      <c r="D29" s="5">
        <v>91.9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  <row r="30" spans="1:21" ht="15" thickBot="1">
      <c r="A30" s="5">
        <v>701641.97</v>
      </c>
      <c r="B30" s="5">
        <v>52715.1</v>
      </c>
      <c r="C30" s="5">
        <v>7223</v>
      </c>
      <c r="D30" s="5">
        <v>84.2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21" ht="16" thickBot="1">
      <c r="A31" s="5">
        <v>511844.41</v>
      </c>
      <c r="B31" s="5">
        <v>68600.62</v>
      </c>
      <c r="C31" s="5">
        <v>3988</v>
      </c>
      <c r="D31" s="5">
        <v>85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1</v>
      </c>
      <c r="M31" s="65" t="s">
        <v>136</v>
      </c>
    </row>
    <row r="32" spans="1:21" ht="15" thickBot="1">
      <c r="A32" s="5">
        <v>537383.79</v>
      </c>
      <c r="B32" s="5">
        <v>63176.73</v>
      </c>
      <c r="C32" s="5">
        <v>2390</v>
      </c>
      <c r="D32" s="5">
        <v>87.5</v>
      </c>
      <c r="E32" s="5">
        <v>0</v>
      </c>
      <c r="F32" s="5">
        <v>0</v>
      </c>
      <c r="G32" s="5">
        <v>1</v>
      </c>
      <c r="H32" s="5">
        <v>0</v>
      </c>
      <c r="I32" s="5">
        <v>0</v>
      </c>
      <c r="J32" s="5">
        <v>1</v>
      </c>
    </row>
    <row r="33" spans="1:15">
      <c r="A33" s="5">
        <v>500173.02</v>
      </c>
      <c r="B33" s="5">
        <v>44970.080000000002</v>
      </c>
      <c r="C33" s="5">
        <v>2471</v>
      </c>
      <c r="D33" s="5">
        <v>87.6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1</v>
      </c>
      <c r="M33" s="62" t="s">
        <v>137</v>
      </c>
      <c r="N33" s="40" t="s">
        <v>138</v>
      </c>
      <c r="O33" s="41" t="s">
        <v>139</v>
      </c>
    </row>
    <row r="34" spans="1:15">
      <c r="A34" s="5">
        <v>427917.38</v>
      </c>
      <c r="B34" s="5">
        <v>69816.350000000006</v>
      </c>
      <c r="C34" s="5">
        <v>971</v>
      </c>
      <c r="D34" s="5">
        <v>89.9</v>
      </c>
      <c r="E34" s="5">
        <v>0</v>
      </c>
      <c r="F34" s="5">
        <v>0</v>
      </c>
      <c r="G34" s="5">
        <v>1</v>
      </c>
      <c r="H34" s="5">
        <v>0</v>
      </c>
      <c r="I34" s="5">
        <v>0</v>
      </c>
      <c r="J34" s="5">
        <v>1</v>
      </c>
      <c r="M34" s="6">
        <v>1</v>
      </c>
      <c r="N34" s="5">
        <v>689614.61629543442</v>
      </c>
      <c r="O34" s="7">
        <v>-30781.996295434423</v>
      </c>
    </row>
    <row r="35" spans="1:15">
      <c r="A35" s="5">
        <v>641865.03</v>
      </c>
      <c r="B35" s="5">
        <v>54597.83</v>
      </c>
      <c r="C35" s="5">
        <v>9429</v>
      </c>
      <c r="D35" s="5">
        <v>83.3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M35" s="6">
        <v>2</v>
      </c>
      <c r="N35" s="5">
        <v>692150.38867634395</v>
      </c>
      <c r="O35" s="7">
        <v>-57714.388676343951</v>
      </c>
    </row>
    <row r="36" spans="1:15">
      <c r="A36" s="5">
        <v>799477.76000000001</v>
      </c>
      <c r="B36" s="5">
        <v>73771.91</v>
      </c>
      <c r="C36" s="5">
        <v>11695</v>
      </c>
      <c r="D36" s="5">
        <v>84.7</v>
      </c>
      <c r="E36" s="5">
        <v>1</v>
      </c>
      <c r="F36" s="5">
        <v>0</v>
      </c>
      <c r="G36" s="5">
        <v>0</v>
      </c>
      <c r="H36" s="5">
        <v>0</v>
      </c>
      <c r="I36" s="5">
        <v>0</v>
      </c>
      <c r="J36" s="5">
        <v>1</v>
      </c>
      <c r="M36" s="6">
        <v>3</v>
      </c>
      <c r="N36" s="5">
        <v>743132.47246260545</v>
      </c>
      <c r="O36" s="7">
        <v>-64410.412462605396</v>
      </c>
    </row>
    <row r="37" spans="1:15">
      <c r="A37" s="5">
        <v>798952.17</v>
      </c>
      <c r="B37" s="5">
        <v>74413.88</v>
      </c>
      <c r="C37" s="5">
        <v>9449</v>
      </c>
      <c r="D37" s="5">
        <v>92.1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M37" s="6">
        <v>4</v>
      </c>
      <c r="N37" s="5">
        <v>747000.03553109989</v>
      </c>
      <c r="O37" s="7">
        <v>-88079.735531099839</v>
      </c>
    </row>
    <row r="38" spans="1:15">
      <c r="A38" s="5">
        <v>800979.78</v>
      </c>
      <c r="B38" s="5">
        <v>52483.77</v>
      </c>
      <c r="C38" s="5">
        <v>10453</v>
      </c>
      <c r="D38" s="5">
        <v>99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1</v>
      </c>
      <c r="M38" s="6">
        <v>5</v>
      </c>
      <c r="N38" s="5">
        <v>789087.65145710623</v>
      </c>
      <c r="O38" s="7">
        <v>-47746.211457106285</v>
      </c>
    </row>
    <row r="39" spans="1:15">
      <c r="A39" s="5">
        <v>820593.93</v>
      </c>
      <c r="B39" s="5">
        <v>75269.87</v>
      </c>
      <c r="C39" s="5">
        <v>8838</v>
      </c>
      <c r="D39" s="5">
        <v>83.1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M39" s="6">
        <v>6</v>
      </c>
      <c r="N39" s="5">
        <v>777257.36970862583</v>
      </c>
      <c r="O39" s="7">
        <v>-15422.029708625865</v>
      </c>
    </row>
    <row r="40" spans="1:15">
      <c r="A40" s="5">
        <v>718330.53</v>
      </c>
      <c r="B40" s="5">
        <v>61245.41</v>
      </c>
      <c r="C40" s="5">
        <v>8156</v>
      </c>
      <c r="D40" s="5">
        <v>92.9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M40" s="6">
        <v>7</v>
      </c>
      <c r="N40" s="5">
        <v>786018.33017243689</v>
      </c>
      <c r="O40" s="7">
        <v>20597.209827563143</v>
      </c>
    </row>
    <row r="41" spans="1:15">
      <c r="A41" s="5">
        <v>736633.4</v>
      </c>
      <c r="B41" s="5">
        <v>93381.26</v>
      </c>
      <c r="C41" s="5">
        <v>7562</v>
      </c>
      <c r="D41" s="5">
        <v>82.9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M41" s="6">
        <v>8</v>
      </c>
      <c r="N41" s="5">
        <v>773503.50311049528</v>
      </c>
      <c r="O41" s="7">
        <v>76660.75688950473</v>
      </c>
    </row>
    <row r="42" spans="1:15">
      <c r="A42" s="5">
        <v>828623.85</v>
      </c>
      <c r="B42" s="5">
        <v>65012.19</v>
      </c>
      <c r="C42" s="5">
        <v>9598</v>
      </c>
      <c r="D42" s="5">
        <v>98.3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M42" s="6">
        <v>9</v>
      </c>
      <c r="N42" s="5">
        <v>870240.64116396313</v>
      </c>
      <c r="O42" s="7">
        <v>60341.058836036827</v>
      </c>
    </row>
    <row r="43" spans="1:15">
      <c r="A43" s="5">
        <v>592195.85</v>
      </c>
      <c r="B43" s="5">
        <v>40462.94</v>
      </c>
      <c r="C43" s="5">
        <v>3660</v>
      </c>
      <c r="D43" s="5">
        <v>95.2</v>
      </c>
      <c r="E43" s="5">
        <v>0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M43" s="6">
        <v>10</v>
      </c>
      <c r="N43" s="5">
        <v>803709.78583602607</v>
      </c>
      <c r="O43" s="7">
        <v>-24698.845836026128</v>
      </c>
    </row>
    <row r="44" spans="1:15">
      <c r="A44" s="5">
        <v>532644.46</v>
      </c>
      <c r="B44" s="5">
        <v>46123.88</v>
      </c>
      <c r="C44" s="5">
        <v>3227</v>
      </c>
      <c r="D44" s="5">
        <v>75.400000000000006</v>
      </c>
      <c r="E44" s="5">
        <v>0</v>
      </c>
      <c r="F44" s="5">
        <v>0</v>
      </c>
      <c r="G44" s="5">
        <v>1</v>
      </c>
      <c r="H44" s="5">
        <v>0</v>
      </c>
      <c r="I44" s="5">
        <v>0</v>
      </c>
      <c r="J44" s="5">
        <v>0</v>
      </c>
      <c r="M44" s="6">
        <v>11</v>
      </c>
      <c r="N44" s="5">
        <v>763540.39926562284</v>
      </c>
      <c r="O44" s="7">
        <v>-40479.639265622827</v>
      </c>
    </row>
    <row r="45" spans="1:15">
      <c r="A45" s="5">
        <v>657429.18000000005</v>
      </c>
      <c r="B45" s="5">
        <v>68077.539999999994</v>
      </c>
      <c r="C45" s="5">
        <v>3360</v>
      </c>
      <c r="D45" s="5">
        <v>88.2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M45" s="6">
        <v>12</v>
      </c>
      <c r="N45" s="5">
        <v>864381.41149786999</v>
      </c>
      <c r="O45" s="7">
        <v>46410.52850212995</v>
      </c>
    </row>
    <row r="46" spans="1:15">
      <c r="A46" s="5">
        <v>605178</v>
      </c>
      <c r="B46" s="5">
        <v>64882.14</v>
      </c>
      <c r="C46" s="5">
        <v>3642</v>
      </c>
      <c r="D46" s="5">
        <v>87.8</v>
      </c>
      <c r="E46" s="5">
        <v>0</v>
      </c>
      <c r="F46" s="5">
        <v>0</v>
      </c>
      <c r="G46" s="5">
        <v>1</v>
      </c>
      <c r="H46" s="5">
        <v>0</v>
      </c>
      <c r="I46" s="5">
        <v>0</v>
      </c>
      <c r="J46" s="5">
        <v>0</v>
      </c>
      <c r="M46" s="6">
        <v>13</v>
      </c>
      <c r="N46" s="5">
        <v>862620.29825308837</v>
      </c>
      <c r="O46" s="7">
        <v>59548.301746911602</v>
      </c>
    </row>
    <row r="47" spans="1:15">
      <c r="A47" s="5">
        <v>595467.6</v>
      </c>
      <c r="B47" s="5">
        <v>138855.51</v>
      </c>
      <c r="C47" s="5">
        <v>5145</v>
      </c>
      <c r="D47" s="5">
        <v>88.2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M47" s="6">
        <v>14</v>
      </c>
      <c r="N47" s="5">
        <v>760817.65541929938</v>
      </c>
      <c r="O47" s="7">
        <v>-34211.375419299351</v>
      </c>
    </row>
    <row r="48" spans="1:15">
      <c r="A48" s="5">
        <v>599603.4</v>
      </c>
      <c r="B48" s="5">
        <v>63630.21</v>
      </c>
      <c r="C48" s="5">
        <v>4460</v>
      </c>
      <c r="D48" s="5">
        <v>98.6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M48" s="6">
        <v>15</v>
      </c>
      <c r="N48" s="5">
        <v>738105.50425731065</v>
      </c>
      <c r="O48" s="7">
        <v>8395.5857426893199</v>
      </c>
    </row>
    <row r="49" spans="1:15">
      <c r="A49" s="5">
        <v>614800.09</v>
      </c>
      <c r="B49" s="5">
        <v>50043.65</v>
      </c>
      <c r="C49" s="5">
        <v>3804</v>
      </c>
      <c r="D49" s="5">
        <v>90.9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M49" s="6">
        <v>16</v>
      </c>
      <c r="N49" s="5">
        <v>789221.38952096971</v>
      </c>
      <c r="O49" s="7">
        <v>44795.630479030311</v>
      </c>
    </row>
    <row r="50" spans="1:15">
      <c r="A50" s="5">
        <v>585365.73</v>
      </c>
      <c r="B50" s="5">
        <v>42093.84</v>
      </c>
      <c r="C50" s="5">
        <v>4074</v>
      </c>
      <c r="D50" s="5">
        <v>88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</v>
      </c>
      <c r="M50" s="6">
        <v>17</v>
      </c>
      <c r="N50" s="5">
        <v>679664.923844176</v>
      </c>
      <c r="O50" s="7">
        <v>-13512.403844175977</v>
      </c>
    </row>
    <row r="51" spans="1:15">
      <c r="A51" s="5">
        <v>622811.74</v>
      </c>
      <c r="B51" s="5">
        <v>46624.05</v>
      </c>
      <c r="C51" s="5">
        <v>5104</v>
      </c>
      <c r="D51" s="5">
        <v>97.3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M51" s="6">
        <v>18</v>
      </c>
      <c r="N51" s="5">
        <v>597020.82310203346</v>
      </c>
      <c r="O51" s="7">
        <v>-23865.63310203352</v>
      </c>
    </row>
    <row r="52" spans="1:15">
      <c r="A52" s="5">
        <v>603297.56999999995</v>
      </c>
      <c r="B52" s="5">
        <v>49710.29</v>
      </c>
      <c r="C52" s="5">
        <v>5559</v>
      </c>
      <c r="D52" s="5">
        <v>71</v>
      </c>
      <c r="E52" s="5">
        <v>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M52" s="6">
        <v>19</v>
      </c>
      <c r="N52" s="5">
        <v>682866.70560817106</v>
      </c>
      <c r="O52" s="7">
        <v>-16293.505608171108</v>
      </c>
    </row>
    <row r="53" spans="1:15">
      <c r="A53" s="5">
        <v>625672.86</v>
      </c>
      <c r="B53" s="5">
        <v>48287.85</v>
      </c>
      <c r="C53" s="5">
        <v>5150</v>
      </c>
      <c r="D53" s="5">
        <v>80.400000000000006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M53" s="6">
        <v>20</v>
      </c>
      <c r="N53" s="5">
        <v>598471.94037897734</v>
      </c>
      <c r="O53" s="7">
        <v>-6851.9903789773816</v>
      </c>
    </row>
    <row r="54" spans="1:15">
      <c r="A54" s="5">
        <v>773815.14</v>
      </c>
      <c r="B54" s="5">
        <v>65312.49</v>
      </c>
      <c r="C54" s="5">
        <v>7189</v>
      </c>
      <c r="D54" s="5">
        <v>93.7</v>
      </c>
      <c r="E54" s="5">
        <v>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M54" s="6">
        <v>21</v>
      </c>
      <c r="N54" s="5">
        <v>493868.49301643833</v>
      </c>
      <c r="O54" s="7">
        <v>-78146.673016438319</v>
      </c>
    </row>
    <row r="55" spans="1:15">
      <c r="A55" s="5">
        <v>463534.25</v>
      </c>
      <c r="B55" s="5">
        <v>53015.46</v>
      </c>
      <c r="C55" s="5">
        <v>3279</v>
      </c>
      <c r="D55" s="5">
        <v>84.3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M55" s="6">
        <v>22</v>
      </c>
      <c r="N55" s="5">
        <v>484847.76640542608</v>
      </c>
      <c r="O55" s="7">
        <v>7057.3635945739225</v>
      </c>
    </row>
    <row r="56" spans="1:15">
      <c r="A56" s="5">
        <v>746677.75</v>
      </c>
      <c r="B56" s="5">
        <v>99874.01</v>
      </c>
      <c r="C56" s="5">
        <v>5887</v>
      </c>
      <c r="D56" s="5">
        <v>88.7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M56" s="6">
        <v>23</v>
      </c>
      <c r="N56" s="5">
        <v>518083.59237678885</v>
      </c>
      <c r="O56" s="7">
        <v>37845.807623211178</v>
      </c>
    </row>
    <row r="57" spans="1:15">
      <c r="A57" s="5">
        <v>720852.5</v>
      </c>
      <c r="B57" s="5">
        <v>81195.5</v>
      </c>
      <c r="C57" s="5">
        <v>5516</v>
      </c>
      <c r="D57" s="5">
        <v>88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M57" s="6">
        <v>24</v>
      </c>
      <c r="N57" s="5">
        <v>546084.94669277384</v>
      </c>
      <c r="O57" s="7">
        <v>19726.043307226151</v>
      </c>
    </row>
    <row r="58" spans="1:15">
      <c r="A58" s="5">
        <v>487464.91</v>
      </c>
      <c r="B58" s="5">
        <v>27808.6</v>
      </c>
      <c r="C58" s="5">
        <v>2863</v>
      </c>
      <c r="D58" s="5">
        <v>89.3</v>
      </c>
      <c r="E58" s="5">
        <v>0</v>
      </c>
      <c r="F58" s="5">
        <v>0</v>
      </c>
      <c r="G58" s="5">
        <v>0</v>
      </c>
      <c r="H58" s="5">
        <v>0</v>
      </c>
      <c r="I58" s="5">
        <v>1</v>
      </c>
      <c r="J58" s="5">
        <v>0</v>
      </c>
      <c r="M58" s="6">
        <v>25</v>
      </c>
      <c r="N58" s="5">
        <v>845846.72692965844</v>
      </c>
      <c r="O58" s="7">
        <v>-34075.586929658428</v>
      </c>
    </row>
    <row r="59" spans="1:15">
      <c r="A59" s="5">
        <v>518049.26</v>
      </c>
      <c r="B59" s="5">
        <v>19365.060000000001</v>
      </c>
      <c r="C59" s="5">
        <v>2378</v>
      </c>
      <c r="D59" s="5">
        <v>94.8</v>
      </c>
      <c r="E59" s="5">
        <v>0</v>
      </c>
      <c r="F59" s="5">
        <v>0</v>
      </c>
      <c r="G59" s="5">
        <v>1</v>
      </c>
      <c r="H59" s="5">
        <v>1</v>
      </c>
      <c r="I59" s="5">
        <v>0</v>
      </c>
      <c r="J59" s="5">
        <v>0</v>
      </c>
      <c r="M59" s="6">
        <v>26</v>
      </c>
      <c r="N59" s="5">
        <v>912993.81510673999</v>
      </c>
      <c r="O59" s="7">
        <v>-112541.87510674004</v>
      </c>
    </row>
    <row r="60" spans="1:15">
      <c r="A60" s="5">
        <v>500298.48</v>
      </c>
      <c r="B60" s="5">
        <v>59405.68</v>
      </c>
      <c r="C60" s="5">
        <v>2515</v>
      </c>
      <c r="D60" s="5">
        <v>76</v>
      </c>
      <c r="E60" s="5">
        <v>0</v>
      </c>
      <c r="F60" s="5">
        <v>0</v>
      </c>
      <c r="G60" s="5">
        <v>1</v>
      </c>
      <c r="H60" s="5">
        <v>1</v>
      </c>
      <c r="I60" s="5">
        <v>0</v>
      </c>
      <c r="J60" s="5">
        <v>0</v>
      </c>
      <c r="M60" s="6">
        <v>27</v>
      </c>
      <c r="N60" s="5">
        <v>803800.47255170974</v>
      </c>
      <c r="O60" s="7">
        <v>-20127.652551709791</v>
      </c>
    </row>
    <row r="61" spans="1:15">
      <c r="A61" s="5">
        <v>617291.15</v>
      </c>
      <c r="B61" s="5">
        <v>118910.48</v>
      </c>
      <c r="C61" s="5">
        <v>4022</v>
      </c>
      <c r="D61" s="5">
        <v>87.1</v>
      </c>
      <c r="E61" s="5">
        <v>0</v>
      </c>
      <c r="F61" s="5">
        <v>0</v>
      </c>
      <c r="G61" s="5">
        <v>1</v>
      </c>
      <c r="H61" s="5">
        <v>1</v>
      </c>
      <c r="I61" s="5">
        <v>0</v>
      </c>
      <c r="J61" s="5">
        <v>0</v>
      </c>
      <c r="M61" s="6">
        <v>28</v>
      </c>
      <c r="N61" s="5">
        <v>707127.20622199879</v>
      </c>
      <c r="O61" s="7">
        <v>-5485.2362219988136</v>
      </c>
    </row>
    <row r="62" spans="1:15">
      <c r="A62" s="5">
        <v>553756.43000000005</v>
      </c>
      <c r="B62" s="5">
        <v>52952.12</v>
      </c>
      <c r="C62" s="5">
        <v>4377</v>
      </c>
      <c r="D62" s="5">
        <v>88.6</v>
      </c>
      <c r="E62" s="5">
        <v>0</v>
      </c>
      <c r="F62" s="5">
        <v>0</v>
      </c>
      <c r="G62" s="5">
        <v>1</v>
      </c>
      <c r="H62" s="5">
        <v>1</v>
      </c>
      <c r="I62" s="5">
        <v>0</v>
      </c>
      <c r="J62" s="5">
        <v>0</v>
      </c>
      <c r="M62" s="6">
        <v>29</v>
      </c>
      <c r="N62" s="5">
        <v>571030.72341650072</v>
      </c>
      <c r="O62" s="7">
        <v>-59186.31341650075</v>
      </c>
    </row>
    <row r="63" spans="1:15">
      <c r="A63" s="5">
        <v>749559.71</v>
      </c>
      <c r="B63" s="5">
        <v>74907.98</v>
      </c>
      <c r="C63" s="5">
        <v>5306</v>
      </c>
      <c r="D63" s="5">
        <v>95.6</v>
      </c>
      <c r="E63" s="5">
        <v>0</v>
      </c>
      <c r="F63" s="5">
        <v>1</v>
      </c>
      <c r="G63" s="5">
        <v>0</v>
      </c>
      <c r="H63" s="5">
        <v>0</v>
      </c>
      <c r="I63" s="5">
        <v>1</v>
      </c>
      <c r="J63" s="5">
        <v>0</v>
      </c>
      <c r="M63" s="6">
        <v>30</v>
      </c>
      <c r="N63" s="5">
        <v>517880.39612512151</v>
      </c>
      <c r="O63" s="7">
        <v>19503.393874878529</v>
      </c>
    </row>
    <row r="64" spans="1:15">
      <c r="A64" s="5">
        <v>615966.48</v>
      </c>
      <c r="B64" s="5">
        <v>37284.660000000003</v>
      </c>
      <c r="C64" s="5">
        <v>3928</v>
      </c>
      <c r="D64" s="5">
        <v>86.5</v>
      </c>
      <c r="E64" s="5">
        <v>0</v>
      </c>
      <c r="F64" s="5">
        <v>1</v>
      </c>
      <c r="G64" s="5">
        <v>0</v>
      </c>
      <c r="H64" s="5">
        <v>0</v>
      </c>
      <c r="I64" s="5">
        <v>1</v>
      </c>
      <c r="J64" s="5">
        <v>0</v>
      </c>
      <c r="M64" s="6">
        <v>31</v>
      </c>
      <c r="N64" s="5">
        <v>499283.15067336336</v>
      </c>
      <c r="O64" s="7">
        <v>889.86932663666084</v>
      </c>
    </row>
    <row r="65" spans="1:15">
      <c r="A65" s="5">
        <v>572011.19999999995</v>
      </c>
      <c r="B65" s="5">
        <v>50343.19</v>
      </c>
      <c r="C65" s="5">
        <v>3845</v>
      </c>
      <c r="D65" s="5">
        <v>88.7</v>
      </c>
      <c r="E65" s="5">
        <v>0</v>
      </c>
      <c r="F65" s="5">
        <v>1</v>
      </c>
      <c r="G65" s="5">
        <v>0</v>
      </c>
      <c r="H65" s="5">
        <v>0</v>
      </c>
      <c r="I65" s="5">
        <v>1</v>
      </c>
      <c r="J65" s="5">
        <v>0</v>
      </c>
      <c r="M65" s="6">
        <v>32</v>
      </c>
      <c r="N65" s="5">
        <v>484830.61636102659</v>
      </c>
      <c r="O65" s="7">
        <v>-56913.236361026589</v>
      </c>
    </row>
    <row r="66" spans="1:15">
      <c r="A66" s="5">
        <v>761860.19</v>
      </c>
      <c r="B66" s="5">
        <v>74954.47</v>
      </c>
      <c r="C66" s="5">
        <v>6620</v>
      </c>
      <c r="D66" s="5">
        <v>91.1</v>
      </c>
      <c r="E66" s="5">
        <v>0</v>
      </c>
      <c r="F66" s="5">
        <v>1</v>
      </c>
      <c r="G66" s="5">
        <v>0</v>
      </c>
      <c r="H66" s="5">
        <v>0</v>
      </c>
      <c r="I66" s="5">
        <v>1</v>
      </c>
      <c r="J66" s="5">
        <v>0</v>
      </c>
      <c r="M66" s="6">
        <v>33</v>
      </c>
      <c r="N66" s="5">
        <v>741946.00992581714</v>
      </c>
      <c r="O66" s="7">
        <v>-100080.97992581711</v>
      </c>
    </row>
    <row r="67" spans="1:15">
      <c r="A67" s="5">
        <v>784502.68</v>
      </c>
      <c r="B67" s="5">
        <v>70040.31</v>
      </c>
      <c r="C67" s="5">
        <v>9175</v>
      </c>
      <c r="D67" s="5">
        <v>95.1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M67" s="6">
        <v>34</v>
      </c>
      <c r="N67" s="5">
        <v>845603.79545194528</v>
      </c>
      <c r="O67" s="7">
        <v>-46126.035451945267</v>
      </c>
    </row>
    <row r="68" spans="1:15">
      <c r="A68" s="5">
        <v>717141.55</v>
      </c>
      <c r="B68" s="5">
        <v>51148.69</v>
      </c>
      <c r="C68" s="5">
        <v>7940</v>
      </c>
      <c r="D68" s="5">
        <v>93.3</v>
      </c>
      <c r="E68" s="5">
        <v>0</v>
      </c>
      <c r="F68" s="5">
        <v>0</v>
      </c>
      <c r="G68" s="5">
        <v>0</v>
      </c>
      <c r="H68" s="5">
        <v>0</v>
      </c>
      <c r="I68" s="5">
        <v>1</v>
      </c>
      <c r="J68" s="5">
        <v>0</v>
      </c>
      <c r="M68" s="6">
        <v>35</v>
      </c>
      <c r="N68" s="5">
        <v>792230.94852754788</v>
      </c>
      <c r="O68" s="7">
        <v>6721.2214724521618</v>
      </c>
    </row>
    <row r="69" spans="1:15">
      <c r="A69" s="5">
        <v>685379.08</v>
      </c>
      <c r="B69" s="5">
        <v>79346.100000000006</v>
      </c>
      <c r="C69" s="5">
        <v>9628</v>
      </c>
      <c r="D69" s="5">
        <v>99</v>
      </c>
      <c r="E69" s="5">
        <v>0</v>
      </c>
      <c r="F69" s="5">
        <v>0</v>
      </c>
      <c r="G69" s="5">
        <v>0</v>
      </c>
      <c r="H69" s="5">
        <v>0</v>
      </c>
      <c r="I69" s="5">
        <v>1</v>
      </c>
      <c r="J69" s="5">
        <v>0</v>
      </c>
      <c r="M69" s="6">
        <v>36</v>
      </c>
      <c r="N69" s="5">
        <v>820598.14750037261</v>
      </c>
      <c r="O69" s="7">
        <v>-19618.36750037258</v>
      </c>
    </row>
    <row r="70" spans="1:15">
      <c r="A70" s="5">
        <v>740496.65</v>
      </c>
      <c r="B70" s="5">
        <v>42018.400000000001</v>
      </c>
      <c r="C70" s="5">
        <v>8296</v>
      </c>
      <c r="D70" s="5">
        <v>91.8</v>
      </c>
      <c r="E70" s="5">
        <v>0</v>
      </c>
      <c r="F70" s="5">
        <v>0</v>
      </c>
      <c r="G70" s="5">
        <v>0</v>
      </c>
      <c r="H70" s="5">
        <v>0</v>
      </c>
      <c r="I70" s="5">
        <v>1</v>
      </c>
      <c r="J70" s="5">
        <v>0</v>
      </c>
      <c r="M70" s="6">
        <v>37</v>
      </c>
      <c r="N70" s="5">
        <v>774780.26058526908</v>
      </c>
      <c r="O70" s="7">
        <v>45813.669414730975</v>
      </c>
    </row>
    <row r="71" spans="1:15">
      <c r="A71" s="5">
        <v>661927.14</v>
      </c>
      <c r="B71" s="5">
        <v>70937.240000000005</v>
      </c>
      <c r="C71" s="5">
        <v>3595</v>
      </c>
      <c r="D71" s="5">
        <v>88.9</v>
      </c>
      <c r="E71" s="5">
        <v>0</v>
      </c>
      <c r="F71" s="5">
        <v>0</v>
      </c>
      <c r="G71" s="5">
        <v>1</v>
      </c>
      <c r="H71" s="5">
        <v>0</v>
      </c>
      <c r="I71" s="5">
        <v>1</v>
      </c>
      <c r="J71" s="5">
        <v>0</v>
      </c>
      <c r="M71" s="6">
        <v>38</v>
      </c>
      <c r="N71" s="5">
        <v>764042.24188420561</v>
      </c>
      <c r="O71" s="7">
        <v>-45711.711884205579</v>
      </c>
    </row>
    <row r="72" spans="1:15">
      <c r="A72" s="5">
        <v>479050.5</v>
      </c>
      <c r="B72" s="5">
        <v>36813.449999999997</v>
      </c>
      <c r="C72" s="5">
        <v>2834</v>
      </c>
      <c r="D72" s="5">
        <v>81.8</v>
      </c>
      <c r="E72" s="5">
        <v>0</v>
      </c>
      <c r="F72" s="5">
        <v>0</v>
      </c>
      <c r="G72" s="5">
        <v>1</v>
      </c>
      <c r="H72" s="5">
        <v>0</v>
      </c>
      <c r="I72" s="5">
        <v>1</v>
      </c>
      <c r="J72" s="5">
        <v>0</v>
      </c>
      <c r="M72" s="6">
        <v>39</v>
      </c>
      <c r="N72" s="5">
        <v>752505.69953106798</v>
      </c>
      <c r="O72" s="7">
        <v>-15872.299531067954</v>
      </c>
    </row>
    <row r="73" spans="1:15">
      <c r="A73" s="5">
        <v>605023.87</v>
      </c>
      <c r="B73" s="5">
        <v>60571.82</v>
      </c>
      <c r="C73" s="5">
        <v>3193</v>
      </c>
      <c r="D73" s="5">
        <v>99</v>
      </c>
      <c r="E73" s="5">
        <v>0</v>
      </c>
      <c r="F73" s="5">
        <v>0</v>
      </c>
      <c r="G73" s="5">
        <v>1</v>
      </c>
      <c r="H73" s="5">
        <v>0</v>
      </c>
      <c r="I73" s="5">
        <v>1</v>
      </c>
      <c r="J73" s="5">
        <v>0</v>
      </c>
      <c r="M73" s="6">
        <v>40</v>
      </c>
      <c r="N73" s="5">
        <v>833335.23660993262</v>
      </c>
      <c r="O73" s="7">
        <v>-4711.3866099326406</v>
      </c>
    </row>
    <row r="74" spans="1:15">
      <c r="A74" s="5">
        <v>674774.09</v>
      </c>
      <c r="B74" s="5">
        <v>55081.16</v>
      </c>
      <c r="C74" s="5">
        <v>5485</v>
      </c>
      <c r="D74" s="5">
        <v>88</v>
      </c>
      <c r="E74" s="5">
        <v>0</v>
      </c>
      <c r="F74" s="5">
        <v>0</v>
      </c>
      <c r="G74" s="5">
        <v>1</v>
      </c>
      <c r="H74" s="5">
        <v>0</v>
      </c>
      <c r="I74" s="5">
        <v>1</v>
      </c>
      <c r="J74" s="5">
        <v>0</v>
      </c>
      <c r="M74" s="6">
        <v>41</v>
      </c>
      <c r="N74" s="5">
        <v>585563.90054665715</v>
      </c>
      <c r="O74" s="7">
        <v>6631.9494533428224</v>
      </c>
    </row>
    <row r="75" spans="1:15">
      <c r="A75" s="5">
        <v>616069.41</v>
      </c>
      <c r="B75" s="5">
        <v>46201.46</v>
      </c>
      <c r="C75" s="5">
        <v>5918</v>
      </c>
      <c r="D75" s="5">
        <v>78.8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1</v>
      </c>
      <c r="M75" s="6">
        <v>42</v>
      </c>
      <c r="N75" s="5">
        <v>518996.66583439306</v>
      </c>
      <c r="O75" s="7">
        <v>13647.794165606902</v>
      </c>
    </row>
    <row r="76" spans="1:15">
      <c r="A76" s="5">
        <v>630829.93999999994</v>
      </c>
      <c r="B76" s="5">
        <v>53762.92</v>
      </c>
      <c r="C76" s="5">
        <v>6821</v>
      </c>
      <c r="D76" s="5">
        <v>94.6</v>
      </c>
      <c r="E76" s="5">
        <v>0</v>
      </c>
      <c r="F76" s="5">
        <v>0</v>
      </c>
      <c r="G76" s="5">
        <v>1</v>
      </c>
      <c r="H76" s="5">
        <v>0</v>
      </c>
      <c r="I76" s="5">
        <v>0</v>
      </c>
      <c r="J76" s="5">
        <v>1</v>
      </c>
      <c r="M76" s="6">
        <v>43</v>
      </c>
      <c r="N76" s="5">
        <v>587493.09173111024</v>
      </c>
      <c r="O76" s="7">
        <v>69936.088268889813</v>
      </c>
    </row>
    <row r="77" spans="1:15">
      <c r="A77" s="5">
        <v>788087.68</v>
      </c>
      <c r="B77" s="5">
        <v>70144.78</v>
      </c>
      <c r="C77" s="5">
        <v>6806</v>
      </c>
      <c r="D77" s="5">
        <v>93.1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1</v>
      </c>
      <c r="M77" s="6">
        <v>44</v>
      </c>
      <c r="N77" s="5">
        <v>592059.77171163948</v>
      </c>
      <c r="O77" s="7">
        <v>13118.228288360522</v>
      </c>
    </row>
    <row r="78" spans="1:15">
      <c r="A78" s="5">
        <v>680840.36</v>
      </c>
      <c r="B78" s="5">
        <v>58749.63</v>
      </c>
      <c r="C78" s="5">
        <v>8252</v>
      </c>
      <c r="D78" s="5">
        <v>85.2</v>
      </c>
      <c r="E78" s="5">
        <v>0</v>
      </c>
      <c r="F78" s="5">
        <v>0</v>
      </c>
      <c r="G78" s="5">
        <v>1</v>
      </c>
      <c r="H78" s="5">
        <v>0</v>
      </c>
      <c r="I78" s="5">
        <v>0</v>
      </c>
      <c r="J78" s="5">
        <v>1</v>
      </c>
      <c r="M78" s="6">
        <v>45</v>
      </c>
      <c r="N78" s="5">
        <v>722105.36795090826</v>
      </c>
      <c r="O78" s="7">
        <v>-126637.76795090828</v>
      </c>
    </row>
    <row r="79" spans="1:15">
      <c r="A79" s="5">
        <v>643657.47</v>
      </c>
      <c r="B79" s="5">
        <v>56973.18</v>
      </c>
      <c r="C79" s="5">
        <v>6662</v>
      </c>
      <c r="D79" s="5">
        <v>77.7</v>
      </c>
      <c r="E79" s="5">
        <v>0</v>
      </c>
      <c r="F79" s="5">
        <v>1</v>
      </c>
      <c r="G79" s="5">
        <v>0</v>
      </c>
      <c r="H79" s="5">
        <v>0</v>
      </c>
      <c r="I79" s="5">
        <v>1</v>
      </c>
      <c r="J79" s="5">
        <v>0</v>
      </c>
      <c r="M79" s="6">
        <v>46</v>
      </c>
      <c r="N79" s="5">
        <v>640314.02712172456</v>
      </c>
      <c r="O79" s="7">
        <v>-40710.627121724538</v>
      </c>
    </row>
    <row r="80" spans="1:15">
      <c r="A80" s="5">
        <v>691112.6</v>
      </c>
      <c r="B80" s="5">
        <v>54872.82</v>
      </c>
      <c r="C80" s="5">
        <v>5962</v>
      </c>
      <c r="D80" s="5">
        <v>85.4</v>
      </c>
      <c r="E80" s="5">
        <v>0</v>
      </c>
      <c r="F80" s="5">
        <v>1</v>
      </c>
      <c r="G80" s="5">
        <v>0</v>
      </c>
      <c r="H80" s="5">
        <v>0</v>
      </c>
      <c r="I80" s="5">
        <v>1</v>
      </c>
      <c r="J80" s="5">
        <v>0</v>
      </c>
      <c r="M80" s="6">
        <v>47</v>
      </c>
      <c r="N80" s="5">
        <v>579154.50919937494</v>
      </c>
      <c r="O80" s="7">
        <v>35645.58080062503</v>
      </c>
    </row>
    <row r="81" spans="1:15">
      <c r="A81" s="5">
        <v>776922.17</v>
      </c>
      <c r="B81" s="5">
        <v>80562.81</v>
      </c>
      <c r="C81" s="5">
        <v>7470</v>
      </c>
      <c r="D81" s="5">
        <v>83.5</v>
      </c>
      <c r="E81" s="5">
        <v>0</v>
      </c>
      <c r="F81" s="5">
        <v>1</v>
      </c>
      <c r="G81" s="5">
        <v>0</v>
      </c>
      <c r="H81" s="5">
        <v>0</v>
      </c>
      <c r="I81" s="5">
        <v>1</v>
      </c>
      <c r="J81" s="5">
        <v>0</v>
      </c>
      <c r="M81" s="6">
        <v>48</v>
      </c>
      <c r="N81" s="5">
        <v>570261.75386382034</v>
      </c>
      <c r="O81" s="7">
        <v>15103.976136179641</v>
      </c>
    </row>
    <row r="82" spans="1:15">
      <c r="A82" s="5">
        <v>636561.34</v>
      </c>
      <c r="B82" s="5">
        <v>77999.899999999994</v>
      </c>
      <c r="C82" s="5">
        <v>5974</v>
      </c>
      <c r="D82" s="5">
        <v>81.3</v>
      </c>
      <c r="E82" s="5">
        <v>0</v>
      </c>
      <c r="F82" s="5">
        <v>1</v>
      </c>
      <c r="G82" s="5">
        <v>0</v>
      </c>
      <c r="H82" s="5">
        <v>0</v>
      </c>
      <c r="I82" s="5">
        <v>1</v>
      </c>
      <c r="J82" s="5">
        <v>0</v>
      </c>
      <c r="M82" s="6">
        <v>49</v>
      </c>
      <c r="N82" s="5">
        <v>656356.27416461019</v>
      </c>
      <c r="O82" s="7">
        <v>-33544.534164610202</v>
      </c>
    </row>
    <row r="83" spans="1:15">
      <c r="A83" s="5">
        <v>621369.57999999996</v>
      </c>
      <c r="B83" s="5">
        <v>60881.01</v>
      </c>
      <c r="C83" s="5">
        <v>5410</v>
      </c>
      <c r="D83" s="5">
        <v>83.9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M83" s="6">
        <v>50</v>
      </c>
      <c r="N83" s="5">
        <v>597548.62891585857</v>
      </c>
      <c r="O83" s="7">
        <v>5748.9410841413774</v>
      </c>
    </row>
    <row r="84" spans="1:15">
      <c r="A84" s="5">
        <v>682208.01</v>
      </c>
      <c r="B84" s="5">
        <v>60628.38</v>
      </c>
      <c r="C84" s="5">
        <v>4451</v>
      </c>
      <c r="D84" s="5">
        <v>89.6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M84" s="6">
        <v>51</v>
      </c>
      <c r="N84" s="5">
        <v>609845.54160699528</v>
      </c>
      <c r="O84" s="7">
        <v>15827.318393004709</v>
      </c>
    </row>
    <row r="85" spans="1:15">
      <c r="A85" s="5">
        <v>727241.86</v>
      </c>
      <c r="B85" s="5">
        <v>72731.14</v>
      </c>
      <c r="C85" s="5">
        <v>4644</v>
      </c>
      <c r="D85" s="5">
        <v>87.1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M85" s="6">
        <v>52</v>
      </c>
      <c r="N85" s="5">
        <v>738501.96616100031</v>
      </c>
      <c r="O85" s="7">
        <v>35313.173838999704</v>
      </c>
    </row>
    <row r="86" spans="1:15">
      <c r="A86" s="5">
        <v>569100.78</v>
      </c>
      <c r="B86" s="5">
        <v>36475.71</v>
      </c>
      <c r="C86" s="5">
        <v>3559</v>
      </c>
      <c r="D86" s="5">
        <v>83.6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M86" s="6">
        <v>53</v>
      </c>
      <c r="N86" s="5">
        <v>561941.77922466677</v>
      </c>
      <c r="O86" s="7">
        <v>-98407.529224666767</v>
      </c>
    </row>
    <row r="87" spans="1:15">
      <c r="A87" s="5">
        <v>574436.29</v>
      </c>
      <c r="B87" s="5">
        <v>55388.11</v>
      </c>
      <c r="C87" s="5">
        <v>3091</v>
      </c>
      <c r="D87" s="5">
        <v>85.4</v>
      </c>
      <c r="E87" s="5">
        <v>0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M87" s="6">
        <v>54</v>
      </c>
      <c r="N87" s="5">
        <v>718962.49287337868</v>
      </c>
      <c r="O87" s="7">
        <v>27715.25712662132</v>
      </c>
    </row>
    <row r="88" spans="1:15">
      <c r="A88" s="5">
        <v>611766.72</v>
      </c>
      <c r="B88" s="5">
        <v>88443.77</v>
      </c>
      <c r="C88" s="5">
        <v>4004</v>
      </c>
      <c r="D88" s="5">
        <v>91.9</v>
      </c>
      <c r="E88" s="5">
        <v>0</v>
      </c>
      <c r="F88" s="5">
        <v>0</v>
      </c>
      <c r="G88" s="5">
        <v>0</v>
      </c>
      <c r="H88" s="5">
        <v>0</v>
      </c>
      <c r="I88" s="5">
        <v>1</v>
      </c>
      <c r="J88" s="5">
        <v>0</v>
      </c>
      <c r="M88" s="6">
        <v>55</v>
      </c>
      <c r="N88" s="5">
        <v>682130.85687144322</v>
      </c>
      <c r="O88" s="7">
        <v>38721.643128556781</v>
      </c>
    </row>
    <row r="89" spans="1:15">
      <c r="A89" s="5">
        <v>614596.31999999995</v>
      </c>
      <c r="B89" s="5">
        <v>78231.91</v>
      </c>
      <c r="C89" s="5">
        <v>3788</v>
      </c>
      <c r="D89" s="5">
        <v>88.5</v>
      </c>
      <c r="E89" s="5">
        <v>0</v>
      </c>
      <c r="F89" s="5">
        <v>0</v>
      </c>
      <c r="G89" s="5">
        <v>0</v>
      </c>
      <c r="H89" s="5">
        <v>0</v>
      </c>
      <c r="I89" s="5">
        <v>1</v>
      </c>
      <c r="J89" s="5">
        <v>0</v>
      </c>
      <c r="M89" s="6">
        <v>56</v>
      </c>
      <c r="N89" s="5">
        <v>532707.67766645679</v>
      </c>
      <c r="O89" s="7">
        <v>-45242.767666456813</v>
      </c>
    </row>
    <row r="90" spans="1:15">
      <c r="A90" s="5">
        <v>450711.92</v>
      </c>
      <c r="B90" s="5">
        <v>18996.32</v>
      </c>
      <c r="C90" s="5">
        <v>1260</v>
      </c>
      <c r="D90" s="5">
        <v>86.4</v>
      </c>
      <c r="E90" s="5">
        <v>0</v>
      </c>
      <c r="F90" s="5">
        <v>0</v>
      </c>
      <c r="G90" s="5">
        <v>0</v>
      </c>
      <c r="H90" s="5">
        <v>0</v>
      </c>
      <c r="I90" s="5">
        <v>1</v>
      </c>
      <c r="J90" s="5">
        <v>0</v>
      </c>
      <c r="M90" s="6">
        <v>57</v>
      </c>
      <c r="N90" s="5">
        <v>526656.07911465608</v>
      </c>
      <c r="O90" s="7">
        <v>-8606.8191146560712</v>
      </c>
    </row>
    <row r="91" spans="1:15">
      <c r="A91" s="5">
        <v>711213.46</v>
      </c>
      <c r="B91" s="5">
        <v>50517.94</v>
      </c>
      <c r="C91" s="5">
        <v>7024</v>
      </c>
      <c r="D91" s="5">
        <v>79.2</v>
      </c>
      <c r="E91" s="5">
        <v>0</v>
      </c>
      <c r="F91" s="5">
        <v>1</v>
      </c>
      <c r="G91" s="5">
        <v>0</v>
      </c>
      <c r="H91" s="5">
        <v>0</v>
      </c>
      <c r="I91" s="5">
        <v>0</v>
      </c>
      <c r="J91" s="5">
        <v>0</v>
      </c>
      <c r="M91" s="6">
        <v>58</v>
      </c>
      <c r="N91" s="5">
        <v>523205.57464802376</v>
      </c>
      <c r="O91" s="7">
        <v>-22907.094648023776</v>
      </c>
    </row>
    <row r="92" spans="1:15">
      <c r="A92" s="5">
        <v>627171.9</v>
      </c>
      <c r="B92" s="5">
        <v>141540.29</v>
      </c>
      <c r="C92" s="5">
        <v>5400</v>
      </c>
      <c r="D92" s="5">
        <v>87</v>
      </c>
      <c r="E92" s="5">
        <v>0</v>
      </c>
      <c r="F92" s="5">
        <v>1</v>
      </c>
      <c r="G92" s="5">
        <v>0</v>
      </c>
      <c r="H92" s="5">
        <v>0</v>
      </c>
      <c r="I92" s="5">
        <v>0</v>
      </c>
      <c r="J92" s="5">
        <v>0</v>
      </c>
      <c r="M92" s="6">
        <v>59</v>
      </c>
      <c r="N92" s="5">
        <v>677815.41936972237</v>
      </c>
      <c r="O92" s="7">
        <v>-60524.269369722344</v>
      </c>
    </row>
    <row r="93" spans="1:15">
      <c r="A93" s="5">
        <v>739852.58</v>
      </c>
      <c r="B93" s="5">
        <v>82116.19</v>
      </c>
      <c r="C93" s="5">
        <v>5988</v>
      </c>
      <c r="D93" s="5">
        <v>91.8</v>
      </c>
      <c r="E93" s="5">
        <v>0</v>
      </c>
      <c r="F93" s="5">
        <v>1</v>
      </c>
      <c r="G93" s="5">
        <v>0</v>
      </c>
      <c r="H93" s="5">
        <v>0</v>
      </c>
      <c r="I93" s="5">
        <v>0</v>
      </c>
      <c r="J93" s="5">
        <v>0</v>
      </c>
      <c r="M93" s="6">
        <v>60</v>
      </c>
      <c r="N93" s="5">
        <v>615895.41711649147</v>
      </c>
      <c r="O93" s="7">
        <v>-62138.987116491422</v>
      </c>
    </row>
    <row r="94" spans="1:15">
      <c r="A94" s="5">
        <v>586307.22</v>
      </c>
      <c r="B94" s="5">
        <v>31207.51</v>
      </c>
      <c r="C94" s="5">
        <v>3701</v>
      </c>
      <c r="D94" s="5">
        <v>84.7</v>
      </c>
      <c r="E94" s="5">
        <v>0</v>
      </c>
      <c r="F94" s="5">
        <v>1</v>
      </c>
      <c r="G94" s="5">
        <v>0</v>
      </c>
      <c r="H94" s="5">
        <v>0</v>
      </c>
      <c r="I94" s="5">
        <v>0</v>
      </c>
      <c r="J94" s="5">
        <v>0</v>
      </c>
      <c r="M94" s="6">
        <v>61</v>
      </c>
      <c r="N94" s="5">
        <v>691367.52437490504</v>
      </c>
      <c r="O94" s="7">
        <v>58192.18562509492</v>
      </c>
    </row>
    <row r="95" spans="1:15">
      <c r="A95" s="5">
        <v>585937.48</v>
      </c>
      <c r="B95" s="5">
        <v>38966.589999999997</v>
      </c>
      <c r="C95" s="5">
        <v>4509</v>
      </c>
      <c r="D95" s="5">
        <v>91.1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1</v>
      </c>
      <c r="M95" s="6">
        <v>62</v>
      </c>
      <c r="N95" s="5">
        <v>573051.16764337383</v>
      </c>
      <c r="O95" s="7">
        <v>42915.312356626149</v>
      </c>
    </row>
    <row r="96" spans="1:15">
      <c r="A96" s="5">
        <v>753473.55</v>
      </c>
      <c r="B96" s="5">
        <v>67439.3</v>
      </c>
      <c r="C96" s="5">
        <v>6477</v>
      </c>
      <c r="D96" s="5">
        <v>90.9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1</v>
      </c>
      <c r="M96" s="6">
        <v>63</v>
      </c>
      <c r="N96" s="5">
        <v>592273.8065990631</v>
      </c>
      <c r="O96" s="7">
        <v>-20262.606599063147</v>
      </c>
    </row>
    <row r="97" spans="1:15">
      <c r="A97" s="5">
        <v>838250.32</v>
      </c>
      <c r="B97" s="5">
        <v>86421.88</v>
      </c>
      <c r="C97" s="5">
        <v>7970</v>
      </c>
      <c r="D97" s="5">
        <v>91.3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1</v>
      </c>
      <c r="M97" s="6">
        <v>64</v>
      </c>
      <c r="N97" s="5">
        <v>722588.84743123932</v>
      </c>
      <c r="O97" s="7">
        <v>39271.342568760621</v>
      </c>
    </row>
    <row r="98" spans="1:15">
      <c r="A98" s="5">
        <v>607898.12</v>
      </c>
      <c r="B98" s="5">
        <v>9534.65</v>
      </c>
      <c r="C98" s="5">
        <v>6057</v>
      </c>
      <c r="D98" s="5">
        <v>94.1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1</v>
      </c>
      <c r="M98" s="6">
        <v>65</v>
      </c>
      <c r="N98" s="5">
        <v>813792.57522579539</v>
      </c>
      <c r="O98" s="7">
        <v>-29289.895225795335</v>
      </c>
    </row>
    <row r="99" spans="1:15">
      <c r="A99" s="5">
        <v>691113.62</v>
      </c>
      <c r="B99" s="5">
        <v>61132.07</v>
      </c>
      <c r="C99" s="5">
        <v>6394</v>
      </c>
      <c r="D99" s="5">
        <v>91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M99" s="6">
        <v>66</v>
      </c>
      <c r="N99" s="5">
        <v>744195.41216974135</v>
      </c>
      <c r="O99" s="7">
        <v>-27053.862169741304</v>
      </c>
    </row>
    <row r="100" spans="1:15">
      <c r="A100" s="5">
        <v>735509.4</v>
      </c>
      <c r="B100" s="5">
        <v>78839.39</v>
      </c>
      <c r="C100" s="5">
        <v>5150</v>
      </c>
      <c r="D100" s="5">
        <v>85.8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M100" s="6">
        <v>67</v>
      </c>
      <c r="N100" s="5">
        <v>851738.63558263297</v>
      </c>
      <c r="O100" s="7">
        <v>-166359.55558263301</v>
      </c>
    </row>
    <row r="101" spans="1:15">
      <c r="A101" s="5">
        <v>605775.32999999996</v>
      </c>
      <c r="B101" s="5">
        <v>38752.800000000003</v>
      </c>
      <c r="C101" s="5">
        <v>4712</v>
      </c>
      <c r="D101" s="5">
        <v>89.7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M101" s="6">
        <v>68</v>
      </c>
      <c r="N101" s="5">
        <v>740957.54685255815</v>
      </c>
      <c r="O101" s="7">
        <v>-460.89685255812947</v>
      </c>
    </row>
    <row r="102" spans="1:15">
      <c r="A102" s="5">
        <v>675177.68</v>
      </c>
      <c r="B102" s="5">
        <v>55101.1</v>
      </c>
      <c r="C102" s="5">
        <v>5281</v>
      </c>
      <c r="D102" s="5">
        <v>91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M102" s="6">
        <v>69</v>
      </c>
      <c r="N102" s="5">
        <v>588625.99744401244</v>
      </c>
      <c r="O102" s="7">
        <v>73301.142555987579</v>
      </c>
    </row>
    <row r="103" spans="1:15">
      <c r="A103" s="5">
        <v>635181.35</v>
      </c>
      <c r="B103" s="5">
        <v>53084.76</v>
      </c>
      <c r="C103" s="5">
        <v>3642</v>
      </c>
      <c r="D103" s="5">
        <v>91.4</v>
      </c>
      <c r="E103" s="5">
        <v>0</v>
      </c>
      <c r="F103" s="5">
        <v>0</v>
      </c>
      <c r="G103" s="5">
        <v>1</v>
      </c>
      <c r="H103" s="5">
        <v>0</v>
      </c>
      <c r="I103" s="5">
        <v>0</v>
      </c>
      <c r="J103" s="5">
        <v>0</v>
      </c>
      <c r="M103" s="6">
        <v>70</v>
      </c>
      <c r="N103" s="5">
        <v>501282.38090306422</v>
      </c>
      <c r="O103" s="7">
        <v>-22231.880903064215</v>
      </c>
    </row>
    <row r="104" spans="1:15">
      <c r="A104" s="5">
        <v>586626.93999999994</v>
      </c>
      <c r="B104" s="5">
        <v>63101.59</v>
      </c>
      <c r="C104" s="5">
        <v>4373</v>
      </c>
      <c r="D104" s="5">
        <v>90.4</v>
      </c>
      <c r="E104" s="5">
        <v>0</v>
      </c>
      <c r="F104" s="5">
        <v>0</v>
      </c>
      <c r="G104" s="5">
        <v>1</v>
      </c>
      <c r="H104" s="5">
        <v>0</v>
      </c>
      <c r="I104" s="5">
        <v>0</v>
      </c>
      <c r="J104" s="5">
        <v>0</v>
      </c>
      <c r="M104" s="6">
        <v>71</v>
      </c>
      <c r="N104" s="5">
        <v>592605.3568520702</v>
      </c>
      <c r="O104" s="7">
        <v>12418.5131479298</v>
      </c>
    </row>
    <row r="105" spans="1:15">
      <c r="A105" s="5">
        <v>740102.64</v>
      </c>
      <c r="B105" s="5">
        <v>90084.4</v>
      </c>
      <c r="C105" s="5">
        <v>6832</v>
      </c>
      <c r="D105" s="5">
        <v>80.5</v>
      </c>
      <c r="E105" s="5">
        <v>0</v>
      </c>
      <c r="F105" s="5">
        <v>0</v>
      </c>
      <c r="G105" s="5">
        <v>1</v>
      </c>
      <c r="H105" s="5">
        <v>0</v>
      </c>
      <c r="I105" s="5">
        <v>0</v>
      </c>
      <c r="J105" s="5">
        <v>0</v>
      </c>
      <c r="M105" s="6">
        <v>72</v>
      </c>
      <c r="N105" s="5">
        <v>631113.2015121734</v>
      </c>
      <c r="O105" s="7">
        <v>43660.888487826567</v>
      </c>
    </row>
    <row r="106" spans="1:15">
      <c r="A106" s="5">
        <v>625514.04</v>
      </c>
      <c r="B106" s="5">
        <v>32266.639999999999</v>
      </c>
      <c r="C106" s="5">
        <v>2414</v>
      </c>
      <c r="D106" s="5">
        <v>92.1</v>
      </c>
      <c r="E106" s="5">
        <v>0</v>
      </c>
      <c r="F106" s="5">
        <v>0</v>
      </c>
      <c r="G106" s="5">
        <v>1</v>
      </c>
      <c r="H106" s="5">
        <v>0</v>
      </c>
      <c r="I106" s="5">
        <v>0</v>
      </c>
      <c r="J106" s="5">
        <v>0</v>
      </c>
      <c r="M106" s="6">
        <v>73</v>
      </c>
      <c r="N106" s="5">
        <v>591402.06440875074</v>
      </c>
      <c r="O106" s="7">
        <v>24667.345591249294</v>
      </c>
    </row>
    <row r="107" spans="1:15">
      <c r="A107" s="5">
        <v>727227.2</v>
      </c>
      <c r="B107" s="5">
        <v>57919.07</v>
      </c>
      <c r="C107" s="5">
        <v>7374</v>
      </c>
      <c r="D107" s="5">
        <v>82.3</v>
      </c>
      <c r="E107" s="5">
        <v>0</v>
      </c>
      <c r="F107" s="5">
        <v>0</v>
      </c>
      <c r="G107" s="5">
        <v>0</v>
      </c>
      <c r="H107" s="5">
        <v>0</v>
      </c>
      <c r="I107" s="5">
        <v>1</v>
      </c>
      <c r="J107" s="5">
        <v>0</v>
      </c>
      <c r="M107" s="6">
        <v>74</v>
      </c>
      <c r="N107" s="5">
        <v>677751.27284463425</v>
      </c>
      <c r="O107" s="7">
        <v>-46921.332844634308</v>
      </c>
    </row>
    <row r="108" spans="1:15">
      <c r="A108" s="5">
        <v>783797.89</v>
      </c>
      <c r="B108" s="5">
        <v>74679.350000000006</v>
      </c>
      <c r="C108" s="5">
        <v>8739</v>
      </c>
      <c r="D108" s="5">
        <v>91.8</v>
      </c>
      <c r="E108" s="5">
        <v>0</v>
      </c>
      <c r="F108" s="5">
        <v>0</v>
      </c>
      <c r="G108" s="5">
        <v>0</v>
      </c>
      <c r="H108" s="5">
        <v>0</v>
      </c>
      <c r="I108" s="5">
        <v>1</v>
      </c>
      <c r="J108" s="5">
        <v>0</v>
      </c>
      <c r="M108" s="6">
        <v>75</v>
      </c>
      <c r="N108" s="5">
        <v>692268.98333287786</v>
      </c>
      <c r="O108" s="7">
        <v>95818.696667122189</v>
      </c>
    </row>
    <row r="109" spans="1:15">
      <c r="A109" s="5">
        <v>795153.84</v>
      </c>
      <c r="B109" s="5">
        <v>64294.23</v>
      </c>
      <c r="C109" s="5">
        <v>6992</v>
      </c>
      <c r="D109" s="5">
        <v>94.1</v>
      </c>
      <c r="E109" s="5">
        <v>0</v>
      </c>
      <c r="F109" s="5">
        <v>0</v>
      </c>
      <c r="G109" s="5">
        <v>0</v>
      </c>
      <c r="H109" s="5">
        <v>0</v>
      </c>
      <c r="I109" s="5">
        <v>1</v>
      </c>
      <c r="J109" s="5">
        <v>0</v>
      </c>
      <c r="M109" s="6">
        <v>76</v>
      </c>
      <c r="N109" s="5">
        <v>704294.71758639545</v>
      </c>
      <c r="O109" s="7">
        <v>-23454.357586395461</v>
      </c>
    </row>
    <row r="110" spans="1:15">
      <c r="A110" s="5">
        <v>665594.93999999994</v>
      </c>
      <c r="B110" s="5">
        <v>31042.03</v>
      </c>
      <c r="C110" s="5">
        <v>7107</v>
      </c>
      <c r="D110" s="5">
        <v>87</v>
      </c>
      <c r="E110" s="5">
        <v>0</v>
      </c>
      <c r="F110" s="5">
        <v>0</v>
      </c>
      <c r="G110" s="5">
        <v>0</v>
      </c>
      <c r="H110" s="5">
        <v>0</v>
      </c>
      <c r="I110" s="5">
        <v>1</v>
      </c>
      <c r="J110" s="5">
        <v>0</v>
      </c>
      <c r="M110" s="6">
        <v>77</v>
      </c>
      <c r="N110" s="5">
        <v>662961.72390163713</v>
      </c>
      <c r="O110" s="7">
        <v>-19304.253901637159</v>
      </c>
    </row>
    <row r="111" spans="1:15">
      <c r="A111" s="5">
        <v>709478.39</v>
      </c>
      <c r="B111" s="5">
        <v>75265.02</v>
      </c>
      <c r="C111" s="5">
        <v>6975</v>
      </c>
      <c r="D111" s="5">
        <v>73.8</v>
      </c>
      <c r="E111" s="5">
        <v>0</v>
      </c>
      <c r="F111" s="5">
        <v>0</v>
      </c>
      <c r="G111" s="5">
        <v>1</v>
      </c>
      <c r="H111" s="5">
        <v>0</v>
      </c>
      <c r="I111" s="5">
        <v>0</v>
      </c>
      <c r="J111" s="5">
        <v>0</v>
      </c>
      <c r="M111" s="6">
        <v>78</v>
      </c>
      <c r="N111" s="5">
        <v>659565.65930412686</v>
      </c>
      <c r="O111" s="7">
        <v>31546.940695873112</v>
      </c>
    </row>
    <row r="112" spans="1:15">
      <c r="A112" s="5">
        <v>664162.49</v>
      </c>
      <c r="B112" s="5">
        <v>69411.7</v>
      </c>
      <c r="C112" s="5">
        <v>5493</v>
      </c>
      <c r="D112" s="5">
        <v>86.5</v>
      </c>
      <c r="E112" s="5">
        <v>0</v>
      </c>
      <c r="F112" s="5">
        <v>0</v>
      </c>
      <c r="G112" s="5">
        <v>1</v>
      </c>
      <c r="H112" s="5">
        <v>0</v>
      </c>
      <c r="I112" s="5">
        <v>0</v>
      </c>
      <c r="J112" s="5">
        <v>0</v>
      </c>
      <c r="M112" s="6">
        <v>79</v>
      </c>
      <c r="N112" s="5">
        <v>735528.74697383109</v>
      </c>
      <c r="O112" s="7">
        <v>41393.423026168952</v>
      </c>
    </row>
    <row r="113" spans="1:15">
      <c r="A113" s="5">
        <v>633494.21</v>
      </c>
      <c r="B113" s="5">
        <v>51056.15</v>
      </c>
      <c r="C113" s="5">
        <v>5686</v>
      </c>
      <c r="D113" s="5">
        <v>89.9</v>
      </c>
      <c r="E113" s="5">
        <v>0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M113" s="6">
        <v>80</v>
      </c>
      <c r="N113" s="5">
        <v>675314.01690829964</v>
      </c>
      <c r="O113" s="7">
        <v>-38752.676908299676</v>
      </c>
    </row>
    <row r="114" spans="1:15">
      <c r="A114" s="5">
        <v>713611.16</v>
      </c>
      <c r="B114" s="5">
        <v>52758.01</v>
      </c>
      <c r="C114" s="5">
        <v>4063</v>
      </c>
      <c r="D114" s="5">
        <v>91.7</v>
      </c>
      <c r="E114" s="5">
        <v>0</v>
      </c>
      <c r="F114" s="5">
        <v>0</v>
      </c>
      <c r="G114" s="5">
        <v>1</v>
      </c>
      <c r="H114" s="5">
        <v>0</v>
      </c>
      <c r="I114" s="5">
        <v>0</v>
      </c>
      <c r="J114" s="5">
        <v>0</v>
      </c>
      <c r="M114" s="6">
        <v>81</v>
      </c>
      <c r="N114" s="5">
        <v>654555.00827878935</v>
      </c>
      <c r="O114" s="7">
        <v>-33185.42827878939</v>
      </c>
    </row>
    <row r="115" spans="1:15">
      <c r="A115" s="5">
        <v>778397.97</v>
      </c>
      <c r="B115" s="5">
        <v>61426.04</v>
      </c>
      <c r="C115" s="5">
        <v>8966</v>
      </c>
      <c r="D115" s="5">
        <v>76.400000000000006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M115" s="6">
        <v>82</v>
      </c>
      <c r="N115" s="5">
        <v>638662.47548233927</v>
      </c>
      <c r="O115" s="7">
        <v>43545.534517660737</v>
      </c>
    </row>
    <row r="116" spans="1:15">
      <c r="A116" s="5">
        <v>873380.02</v>
      </c>
      <c r="B116" s="5">
        <v>80176.34</v>
      </c>
      <c r="C116" s="5">
        <v>9489</v>
      </c>
      <c r="D116" s="5">
        <v>94.3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M116" s="6">
        <v>83</v>
      </c>
      <c r="N116" s="5">
        <v>652176.65388993989</v>
      </c>
      <c r="O116" s="7">
        <v>75065.206110060099</v>
      </c>
    </row>
    <row r="117" spans="1:15">
      <c r="A117" s="5">
        <v>697287.9</v>
      </c>
      <c r="B117" s="5">
        <v>33605.18</v>
      </c>
      <c r="C117" s="5">
        <v>9225</v>
      </c>
      <c r="D117" s="5">
        <v>88.4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M117" s="6">
        <v>84</v>
      </c>
      <c r="N117" s="5">
        <v>561989.88093094621</v>
      </c>
      <c r="O117" s="7">
        <v>7110.8990690538194</v>
      </c>
    </row>
    <row r="118" spans="1:15">
      <c r="A118" s="5">
        <v>718074.79</v>
      </c>
      <c r="B118" s="5">
        <v>25990.54</v>
      </c>
      <c r="C118" s="5">
        <v>9249</v>
      </c>
      <c r="D118" s="5">
        <v>92.5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M118" s="6">
        <v>85</v>
      </c>
      <c r="N118" s="5">
        <v>561653.08960507484</v>
      </c>
      <c r="O118" s="7">
        <v>12783.200394925196</v>
      </c>
    </row>
    <row r="119" spans="1:15">
      <c r="A119" s="5">
        <v>714942.43</v>
      </c>
      <c r="B119" s="5">
        <v>43685.14</v>
      </c>
      <c r="C119" s="5">
        <v>7821</v>
      </c>
      <c r="D119" s="5">
        <v>91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1</v>
      </c>
      <c r="M119" s="6">
        <v>86</v>
      </c>
      <c r="N119" s="5">
        <v>651097.31454250962</v>
      </c>
      <c r="O119" s="7">
        <v>-39330.594542509643</v>
      </c>
    </row>
    <row r="120" spans="1:15">
      <c r="A120" s="5">
        <v>820519.04</v>
      </c>
      <c r="B120" s="5">
        <v>57360.01</v>
      </c>
      <c r="C120" s="5">
        <v>8434</v>
      </c>
      <c r="D120" s="5">
        <v>84.1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1</v>
      </c>
      <c r="M120" s="6">
        <v>87</v>
      </c>
      <c r="N120" s="5">
        <v>621579.92968289938</v>
      </c>
      <c r="O120" s="7">
        <v>-6983.6096828994341</v>
      </c>
    </row>
    <row r="121" spans="1:15">
      <c r="A121" s="5">
        <v>684217.32</v>
      </c>
      <c r="B121" s="5">
        <v>42415.47</v>
      </c>
      <c r="C121" s="5">
        <v>8512</v>
      </c>
      <c r="D121" s="5">
        <v>96.8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1</v>
      </c>
      <c r="M121" s="6">
        <v>88</v>
      </c>
      <c r="N121" s="5">
        <v>459370.56960987579</v>
      </c>
      <c r="O121" s="7">
        <v>-8658.6496098758071</v>
      </c>
    </row>
    <row r="122" spans="1:15">
      <c r="A122" s="5">
        <v>735480.19</v>
      </c>
      <c r="B122" s="5">
        <v>54968.98</v>
      </c>
      <c r="C122" s="5">
        <v>7816</v>
      </c>
      <c r="D122" s="5">
        <v>95.7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1</v>
      </c>
      <c r="M122" s="6">
        <v>89</v>
      </c>
      <c r="N122" s="5">
        <v>684285.13337277353</v>
      </c>
      <c r="O122" s="7">
        <v>26928.32662722643</v>
      </c>
    </row>
    <row r="123" spans="1:15">
      <c r="A123" s="5">
        <v>509484.81</v>
      </c>
      <c r="B123" s="5">
        <v>43896.13</v>
      </c>
      <c r="C123" s="5">
        <v>3853</v>
      </c>
      <c r="D123" s="5">
        <v>83</v>
      </c>
      <c r="E123" s="5">
        <v>1</v>
      </c>
      <c r="F123" s="5">
        <v>0</v>
      </c>
      <c r="G123" s="5">
        <v>0</v>
      </c>
      <c r="H123" s="5">
        <v>0</v>
      </c>
      <c r="I123" s="5">
        <v>1</v>
      </c>
      <c r="J123" s="5">
        <v>0</v>
      </c>
      <c r="M123" s="6">
        <v>90</v>
      </c>
      <c r="N123" s="5">
        <v>760561.84191917116</v>
      </c>
      <c r="O123" s="7">
        <v>-133389.94191917113</v>
      </c>
    </row>
    <row r="124" spans="1:15">
      <c r="A124" s="5">
        <v>654317.09</v>
      </c>
      <c r="B124" s="5">
        <v>83044.17</v>
      </c>
      <c r="C124" s="5">
        <v>3694</v>
      </c>
      <c r="D124" s="5">
        <v>89.4</v>
      </c>
      <c r="E124" s="5">
        <v>1</v>
      </c>
      <c r="F124" s="5">
        <v>0</v>
      </c>
      <c r="G124" s="5">
        <v>0</v>
      </c>
      <c r="H124" s="5">
        <v>0</v>
      </c>
      <c r="I124" s="5">
        <v>1</v>
      </c>
      <c r="J124" s="5">
        <v>0</v>
      </c>
      <c r="M124" s="6">
        <v>91</v>
      </c>
      <c r="N124" s="5">
        <v>724068.40906498779</v>
      </c>
      <c r="O124" s="7">
        <v>15784.170935012167</v>
      </c>
    </row>
    <row r="125" spans="1:15">
      <c r="A125" s="5">
        <v>557487.26</v>
      </c>
      <c r="B125" s="5">
        <v>48396.13</v>
      </c>
      <c r="C125" s="5">
        <v>4423</v>
      </c>
      <c r="D125" s="5">
        <v>85.7</v>
      </c>
      <c r="E125" s="5">
        <v>1</v>
      </c>
      <c r="F125" s="5">
        <v>0</v>
      </c>
      <c r="G125" s="5">
        <v>0</v>
      </c>
      <c r="H125" s="5">
        <v>0</v>
      </c>
      <c r="I125" s="5">
        <v>1</v>
      </c>
      <c r="J125" s="5">
        <v>0</v>
      </c>
      <c r="M125" s="6">
        <v>92</v>
      </c>
      <c r="N125" s="5">
        <v>565108.26042045199</v>
      </c>
      <c r="O125" s="7">
        <v>21198.959579547984</v>
      </c>
    </row>
    <row r="126" spans="1:15">
      <c r="A126" s="5">
        <v>441275.42</v>
      </c>
      <c r="B126" s="5">
        <v>19063.48</v>
      </c>
      <c r="C126" s="5">
        <v>1906</v>
      </c>
      <c r="D126" s="5">
        <v>97.8</v>
      </c>
      <c r="E126" s="5">
        <v>1</v>
      </c>
      <c r="F126" s="5">
        <v>0</v>
      </c>
      <c r="G126" s="5">
        <v>0</v>
      </c>
      <c r="H126" s="5">
        <v>0</v>
      </c>
      <c r="I126" s="5">
        <v>1</v>
      </c>
      <c r="J126" s="5">
        <v>0</v>
      </c>
      <c r="M126" s="6">
        <v>93</v>
      </c>
      <c r="N126" s="5">
        <v>590454.41907997278</v>
      </c>
      <c r="O126" s="7">
        <v>-4516.9390799727989</v>
      </c>
    </row>
    <row r="127" spans="1:15">
      <c r="A127" s="5">
        <v>914544.17</v>
      </c>
      <c r="B127" s="5">
        <v>61541.21</v>
      </c>
      <c r="C127" s="5">
        <v>10396</v>
      </c>
      <c r="D127" s="5">
        <v>88.1</v>
      </c>
      <c r="E127" s="5">
        <v>0</v>
      </c>
      <c r="F127" s="5">
        <v>1</v>
      </c>
      <c r="G127" s="5">
        <v>0</v>
      </c>
      <c r="H127" s="5">
        <v>0</v>
      </c>
      <c r="I127" s="5">
        <v>1</v>
      </c>
      <c r="J127" s="5">
        <v>0</v>
      </c>
      <c r="M127" s="6">
        <v>94</v>
      </c>
      <c r="N127" s="5">
        <v>690334.04824911396</v>
      </c>
      <c r="O127" s="7">
        <v>63139.501750886091</v>
      </c>
    </row>
    <row r="128" spans="1:15">
      <c r="A128" s="5">
        <v>842439.67</v>
      </c>
      <c r="B128" s="5">
        <v>44747</v>
      </c>
      <c r="C128" s="5">
        <v>11076</v>
      </c>
      <c r="D128" s="5">
        <v>98.3</v>
      </c>
      <c r="E128" s="5">
        <v>0</v>
      </c>
      <c r="F128" s="5">
        <v>1</v>
      </c>
      <c r="G128" s="5">
        <v>0</v>
      </c>
      <c r="H128" s="5">
        <v>0</v>
      </c>
      <c r="I128" s="5">
        <v>1</v>
      </c>
      <c r="J128" s="5">
        <v>0</v>
      </c>
      <c r="M128" s="6">
        <v>95</v>
      </c>
      <c r="N128" s="5">
        <v>764629.35717862425</v>
      </c>
      <c r="O128" s="7">
        <v>73620.962821375695</v>
      </c>
    </row>
    <row r="129" spans="1:15">
      <c r="A129" s="5">
        <v>842157.92</v>
      </c>
      <c r="B129" s="5">
        <v>56517.9</v>
      </c>
      <c r="C129" s="5">
        <v>9574</v>
      </c>
      <c r="D129" s="5">
        <v>88.2</v>
      </c>
      <c r="E129" s="5">
        <v>0</v>
      </c>
      <c r="F129" s="5">
        <v>1</v>
      </c>
      <c r="G129" s="5">
        <v>0</v>
      </c>
      <c r="H129" s="5">
        <v>0</v>
      </c>
      <c r="I129" s="5">
        <v>1</v>
      </c>
      <c r="J129" s="5">
        <v>0</v>
      </c>
      <c r="M129" s="6">
        <v>96</v>
      </c>
      <c r="N129" s="5">
        <v>616777.5414133122</v>
      </c>
      <c r="O129" s="7">
        <v>-8879.4214133122005</v>
      </c>
    </row>
    <row r="130" spans="1:15">
      <c r="A130" s="5">
        <v>697155.3</v>
      </c>
      <c r="B130" s="5">
        <v>37828.5</v>
      </c>
      <c r="C130" s="5">
        <v>8221</v>
      </c>
      <c r="D130" s="5">
        <v>81.5</v>
      </c>
      <c r="E130" s="5">
        <v>0</v>
      </c>
      <c r="F130" s="5">
        <v>1</v>
      </c>
      <c r="G130" s="5">
        <v>0</v>
      </c>
      <c r="H130" s="5">
        <v>0</v>
      </c>
      <c r="I130" s="5">
        <v>1</v>
      </c>
      <c r="J130" s="5">
        <v>0</v>
      </c>
      <c r="M130" s="6">
        <v>97</v>
      </c>
      <c r="N130" s="5">
        <v>709196.43494646857</v>
      </c>
      <c r="O130" s="7">
        <v>-18082.81494646857</v>
      </c>
    </row>
    <row r="131" spans="1:15">
      <c r="A131" s="5">
        <v>849018.3</v>
      </c>
      <c r="B131" s="5">
        <v>66250.53</v>
      </c>
      <c r="C131" s="5">
        <v>10618</v>
      </c>
      <c r="D131" s="5">
        <v>88.3</v>
      </c>
      <c r="E131" s="5">
        <v>0</v>
      </c>
      <c r="F131" s="5">
        <v>0</v>
      </c>
      <c r="G131" s="5">
        <v>1</v>
      </c>
      <c r="H131" s="5">
        <v>0</v>
      </c>
      <c r="I131" s="5">
        <v>1</v>
      </c>
      <c r="J131" s="5">
        <v>0</v>
      </c>
      <c r="M131" s="6">
        <v>98</v>
      </c>
      <c r="N131" s="5">
        <v>672718.85487701744</v>
      </c>
      <c r="O131" s="7">
        <v>62790.545122982585</v>
      </c>
    </row>
    <row r="132" spans="1:15">
      <c r="A132" s="5">
        <v>801830.35</v>
      </c>
      <c r="B132" s="5">
        <v>68410.929999999993</v>
      </c>
      <c r="C132" s="5">
        <v>10596</v>
      </c>
      <c r="D132" s="5">
        <v>81.2</v>
      </c>
      <c r="E132" s="5">
        <v>0</v>
      </c>
      <c r="F132" s="5">
        <v>0</v>
      </c>
      <c r="G132" s="5">
        <v>1</v>
      </c>
      <c r="H132" s="5">
        <v>0</v>
      </c>
      <c r="I132" s="5">
        <v>1</v>
      </c>
      <c r="J132" s="5">
        <v>0</v>
      </c>
      <c r="M132" s="6">
        <v>99</v>
      </c>
      <c r="N132" s="5">
        <v>621799.99420721363</v>
      </c>
      <c r="O132" s="7">
        <v>-16024.664207213675</v>
      </c>
    </row>
    <row r="133" spans="1:15">
      <c r="A133" s="5">
        <v>725235.28</v>
      </c>
      <c r="B133" s="5">
        <v>50735.63</v>
      </c>
      <c r="C133" s="5">
        <v>9619</v>
      </c>
      <c r="D133" s="5">
        <v>93.8</v>
      </c>
      <c r="E133" s="5">
        <v>0</v>
      </c>
      <c r="F133" s="5">
        <v>0</v>
      </c>
      <c r="G133" s="5">
        <v>1</v>
      </c>
      <c r="H133" s="5">
        <v>0</v>
      </c>
      <c r="I133" s="5">
        <v>1</v>
      </c>
      <c r="J133" s="5">
        <v>0</v>
      </c>
      <c r="M133" s="6">
        <v>100</v>
      </c>
      <c r="N133" s="5">
        <v>664343.511968076</v>
      </c>
      <c r="O133" s="7">
        <v>10834.168031924055</v>
      </c>
    </row>
    <row r="134" spans="1:15">
      <c r="A134" s="5">
        <v>811452.72</v>
      </c>
      <c r="B134" s="5">
        <v>66455.8</v>
      </c>
      <c r="C134" s="5">
        <v>10836</v>
      </c>
      <c r="D134" s="5">
        <v>85</v>
      </c>
      <c r="E134" s="5">
        <v>0</v>
      </c>
      <c r="F134" s="5">
        <v>0</v>
      </c>
      <c r="G134" s="5">
        <v>1</v>
      </c>
      <c r="H134" s="5">
        <v>0</v>
      </c>
      <c r="I134" s="5">
        <v>1</v>
      </c>
      <c r="J134" s="5">
        <v>0</v>
      </c>
      <c r="M134" s="6">
        <v>101</v>
      </c>
      <c r="N134" s="5">
        <v>588700.83566436591</v>
      </c>
      <c r="O134" s="7">
        <v>46480.51433563407</v>
      </c>
    </row>
    <row r="135" spans="1:15">
      <c r="A135" s="5">
        <v>527300.13</v>
      </c>
      <c r="B135" s="5">
        <v>70276.28</v>
      </c>
      <c r="C135" s="5">
        <v>3043</v>
      </c>
      <c r="D135" s="5">
        <v>87.9</v>
      </c>
      <c r="E135" s="5">
        <v>1</v>
      </c>
      <c r="F135" s="5">
        <v>0</v>
      </c>
      <c r="G135" s="5">
        <v>0</v>
      </c>
      <c r="H135" s="5">
        <v>0</v>
      </c>
      <c r="I135" s="5">
        <v>1</v>
      </c>
      <c r="J135" s="5">
        <v>0</v>
      </c>
      <c r="M135" s="6">
        <v>102</v>
      </c>
      <c r="N135" s="5">
        <v>622394.66789303219</v>
      </c>
      <c r="O135" s="7">
        <v>-35767.72789303225</v>
      </c>
    </row>
    <row r="136" spans="1:15">
      <c r="A136" s="5">
        <v>400831.65</v>
      </c>
      <c r="B136" s="5">
        <v>22071.64</v>
      </c>
      <c r="C136" s="5">
        <v>1814</v>
      </c>
      <c r="D136" s="5">
        <v>81.099999999999994</v>
      </c>
      <c r="E136" s="5">
        <v>1</v>
      </c>
      <c r="F136" s="5">
        <v>0</v>
      </c>
      <c r="G136" s="5">
        <v>0</v>
      </c>
      <c r="H136" s="5">
        <v>0</v>
      </c>
      <c r="I136" s="5">
        <v>1</v>
      </c>
      <c r="J136" s="5">
        <v>0</v>
      </c>
      <c r="M136" s="6">
        <v>103</v>
      </c>
      <c r="N136" s="5">
        <v>708404.60543108964</v>
      </c>
      <c r="O136" s="7">
        <v>31698.034568910371</v>
      </c>
    </row>
    <row r="137" spans="1:15">
      <c r="A137" s="5">
        <v>593247.25</v>
      </c>
      <c r="B137" s="5">
        <v>52285.45</v>
      </c>
      <c r="C137" s="5">
        <v>3618</v>
      </c>
      <c r="D137" s="5">
        <v>95.6</v>
      </c>
      <c r="E137" s="5">
        <v>1</v>
      </c>
      <c r="F137" s="5">
        <v>0</v>
      </c>
      <c r="G137" s="5">
        <v>0</v>
      </c>
      <c r="H137" s="5">
        <v>0</v>
      </c>
      <c r="I137" s="5">
        <v>1</v>
      </c>
      <c r="J137" s="5">
        <v>0</v>
      </c>
      <c r="M137" s="6">
        <v>104</v>
      </c>
      <c r="N137" s="5">
        <v>524454.49631343945</v>
      </c>
      <c r="O137" s="7">
        <v>101059.54368656059</v>
      </c>
    </row>
    <row r="138" spans="1:15">
      <c r="A138" s="5">
        <v>529075.94999999995</v>
      </c>
      <c r="B138" s="5">
        <v>70366.759999999995</v>
      </c>
      <c r="C138" s="5">
        <v>1963</v>
      </c>
      <c r="D138" s="5">
        <v>89.8</v>
      </c>
      <c r="E138" s="5">
        <v>1</v>
      </c>
      <c r="F138" s="5">
        <v>0</v>
      </c>
      <c r="G138" s="5">
        <v>0</v>
      </c>
      <c r="H138" s="5">
        <v>0</v>
      </c>
      <c r="I138" s="5">
        <v>1</v>
      </c>
      <c r="J138" s="5">
        <v>0</v>
      </c>
      <c r="M138" s="6">
        <v>105</v>
      </c>
      <c r="N138" s="5">
        <v>700502.41587176535</v>
      </c>
      <c r="O138" s="7">
        <v>26724.784128234605</v>
      </c>
    </row>
    <row r="139" spans="1:15">
      <c r="A139" s="5">
        <v>633638.03</v>
      </c>
      <c r="B139" s="5">
        <v>71320.66</v>
      </c>
      <c r="C139" s="5">
        <v>7888</v>
      </c>
      <c r="D139" s="5">
        <v>78.099999999999994</v>
      </c>
      <c r="E139" s="5">
        <v>0</v>
      </c>
      <c r="F139" s="5">
        <v>1</v>
      </c>
      <c r="G139" s="5">
        <v>0</v>
      </c>
      <c r="H139" s="5">
        <v>0</v>
      </c>
      <c r="I139" s="5">
        <v>0</v>
      </c>
      <c r="J139" s="5">
        <v>1</v>
      </c>
      <c r="M139" s="6">
        <v>106</v>
      </c>
      <c r="N139" s="5">
        <v>794770.34374053194</v>
      </c>
      <c r="O139" s="7">
        <v>-10972.453740531928</v>
      </c>
    </row>
    <row r="140" spans="1:15">
      <c r="A140" s="5">
        <v>743348.84</v>
      </c>
      <c r="B140" s="5">
        <v>75109.67</v>
      </c>
      <c r="C140" s="5">
        <v>6244</v>
      </c>
      <c r="D140" s="5">
        <v>96.3</v>
      </c>
      <c r="E140" s="5">
        <v>0</v>
      </c>
      <c r="F140" s="5">
        <v>1</v>
      </c>
      <c r="G140" s="5">
        <v>0</v>
      </c>
      <c r="H140" s="5">
        <v>0</v>
      </c>
      <c r="I140" s="5">
        <v>0</v>
      </c>
      <c r="J140" s="5">
        <v>1</v>
      </c>
      <c r="M140" s="6">
        <v>107</v>
      </c>
      <c r="N140" s="5">
        <v>730086.9330540559</v>
      </c>
      <c r="O140" s="7">
        <v>65066.906945944065</v>
      </c>
    </row>
    <row r="141" spans="1:15">
      <c r="A141" s="5">
        <v>758827.64</v>
      </c>
      <c r="B141" s="5">
        <v>69779</v>
      </c>
      <c r="C141" s="5">
        <v>6544</v>
      </c>
      <c r="D141" s="5">
        <v>90.2</v>
      </c>
      <c r="E141" s="5">
        <v>0</v>
      </c>
      <c r="F141" s="5">
        <v>1</v>
      </c>
      <c r="G141" s="5">
        <v>0</v>
      </c>
      <c r="H141" s="5">
        <v>0</v>
      </c>
      <c r="I141" s="5">
        <v>0</v>
      </c>
      <c r="J141" s="5">
        <v>1</v>
      </c>
      <c r="M141" s="6">
        <v>108</v>
      </c>
      <c r="N141" s="5">
        <v>673440.27355813712</v>
      </c>
      <c r="O141" s="7">
        <v>-7845.3335581371794</v>
      </c>
    </row>
    <row r="142" spans="1:15">
      <c r="A142" s="5">
        <v>646559.71</v>
      </c>
      <c r="B142" s="5">
        <v>44211.95</v>
      </c>
      <c r="C142" s="5">
        <v>5465</v>
      </c>
      <c r="D142" s="5">
        <v>90</v>
      </c>
      <c r="E142" s="5">
        <v>0</v>
      </c>
      <c r="F142" s="5">
        <v>1</v>
      </c>
      <c r="G142" s="5">
        <v>0</v>
      </c>
      <c r="H142" s="5">
        <v>0</v>
      </c>
      <c r="I142" s="5">
        <v>0</v>
      </c>
      <c r="J142" s="5">
        <v>1</v>
      </c>
      <c r="M142" s="6">
        <v>109</v>
      </c>
      <c r="N142" s="5">
        <v>675795.31723907671</v>
      </c>
      <c r="O142" s="7">
        <v>33683.0727609233</v>
      </c>
    </row>
    <row r="143" spans="1:15">
      <c r="A143" s="5">
        <v>715890.53</v>
      </c>
      <c r="B143" s="5">
        <v>51430.31</v>
      </c>
      <c r="C143" s="5">
        <v>6427</v>
      </c>
      <c r="D143" s="5">
        <v>88.8</v>
      </c>
      <c r="E143" s="5">
        <v>0</v>
      </c>
      <c r="F143" s="5">
        <v>0</v>
      </c>
      <c r="G143" s="5">
        <v>0</v>
      </c>
      <c r="H143" s="5">
        <v>0</v>
      </c>
      <c r="I143" s="5">
        <v>1</v>
      </c>
      <c r="J143" s="5">
        <v>0</v>
      </c>
      <c r="M143" s="6">
        <v>110</v>
      </c>
      <c r="N143" s="5">
        <v>656267.37228192086</v>
      </c>
      <c r="O143" s="7">
        <v>7895.1177180791274</v>
      </c>
    </row>
    <row r="144" spans="1:15">
      <c r="A144" s="5">
        <v>715097.57</v>
      </c>
      <c r="B144" s="5">
        <v>45706.49</v>
      </c>
      <c r="C144" s="5">
        <v>6704</v>
      </c>
      <c r="D144" s="5">
        <v>94.2</v>
      </c>
      <c r="E144" s="5">
        <v>0</v>
      </c>
      <c r="F144" s="5">
        <v>0</v>
      </c>
      <c r="G144" s="5">
        <v>0</v>
      </c>
      <c r="H144" s="5">
        <v>0</v>
      </c>
      <c r="I144" s="5">
        <v>1</v>
      </c>
      <c r="J144" s="5">
        <v>0</v>
      </c>
      <c r="M144" s="6">
        <v>111</v>
      </c>
      <c r="N144" s="5">
        <v>651057.6725118882</v>
      </c>
      <c r="O144" s="7">
        <v>-17563.46251188824</v>
      </c>
    </row>
    <row r="145" spans="1:15">
      <c r="A145" s="5">
        <v>682639.28</v>
      </c>
      <c r="B145" s="5">
        <v>44034.6</v>
      </c>
      <c r="C145" s="5">
        <v>5645</v>
      </c>
      <c r="D145" s="5">
        <v>88.5</v>
      </c>
      <c r="E145" s="5">
        <v>0</v>
      </c>
      <c r="F145" s="5">
        <v>0</v>
      </c>
      <c r="G145" s="5">
        <v>0</v>
      </c>
      <c r="H145" s="5">
        <v>0</v>
      </c>
      <c r="I145" s="5">
        <v>1</v>
      </c>
      <c r="J145" s="5">
        <v>0</v>
      </c>
      <c r="M145" s="6">
        <v>112</v>
      </c>
      <c r="N145" s="5">
        <v>603455.90214380994</v>
      </c>
      <c r="O145" s="7">
        <v>110155.25785619009</v>
      </c>
    </row>
    <row r="146" spans="1:15">
      <c r="A146" s="5">
        <v>695098.51</v>
      </c>
      <c r="B146" s="5">
        <v>50198.12</v>
      </c>
      <c r="C146" s="5">
        <v>6089</v>
      </c>
      <c r="D146" s="5">
        <v>94</v>
      </c>
      <c r="E146" s="5">
        <v>0</v>
      </c>
      <c r="F146" s="5">
        <v>0</v>
      </c>
      <c r="G146" s="5">
        <v>0</v>
      </c>
      <c r="H146" s="5">
        <v>0</v>
      </c>
      <c r="I146" s="5">
        <v>1</v>
      </c>
      <c r="J146" s="5">
        <v>0</v>
      </c>
      <c r="M146" s="6">
        <v>113</v>
      </c>
      <c r="N146" s="5">
        <v>753398.66398193326</v>
      </c>
      <c r="O146" s="7">
        <v>24999.306018066709</v>
      </c>
    </row>
    <row r="147" spans="1:15">
      <c r="A147" s="5">
        <v>577732.56999999995</v>
      </c>
      <c r="B147" s="5">
        <v>70488.2</v>
      </c>
      <c r="C147" s="5">
        <v>4312</v>
      </c>
      <c r="D147" s="5">
        <v>90.2</v>
      </c>
      <c r="E147" s="5">
        <v>1</v>
      </c>
      <c r="F147" s="5">
        <v>0</v>
      </c>
      <c r="G147" s="5">
        <v>0</v>
      </c>
      <c r="H147" s="5">
        <v>0</v>
      </c>
      <c r="I147" s="5">
        <v>0</v>
      </c>
      <c r="J147" s="5">
        <v>1</v>
      </c>
      <c r="M147" s="6">
        <v>114</v>
      </c>
      <c r="N147" s="5">
        <v>846396.15888070955</v>
      </c>
      <c r="O147" s="7">
        <v>26983.861119290465</v>
      </c>
    </row>
    <row r="148" spans="1:15">
      <c r="A148" s="5">
        <v>537058.32999999996</v>
      </c>
      <c r="B148" s="5">
        <v>50909.27</v>
      </c>
      <c r="C148" s="5">
        <v>3152</v>
      </c>
      <c r="D148" s="5">
        <v>93.7</v>
      </c>
      <c r="E148" s="5">
        <v>1</v>
      </c>
      <c r="F148" s="5">
        <v>0</v>
      </c>
      <c r="G148" s="5">
        <v>0</v>
      </c>
      <c r="H148" s="5">
        <v>0</v>
      </c>
      <c r="I148" s="5">
        <v>0</v>
      </c>
      <c r="J148" s="5">
        <v>1</v>
      </c>
      <c r="M148" s="6">
        <v>115</v>
      </c>
      <c r="N148" s="5">
        <v>764642.46298549813</v>
      </c>
      <c r="O148" s="7">
        <v>-67354.562985498109</v>
      </c>
    </row>
    <row r="149" spans="1:15">
      <c r="A149" s="5">
        <v>601568.87</v>
      </c>
      <c r="B149" s="5">
        <v>53351.7</v>
      </c>
      <c r="C149" s="5">
        <v>4259</v>
      </c>
      <c r="D149" s="5">
        <v>93.7</v>
      </c>
      <c r="E149" s="5">
        <v>1</v>
      </c>
      <c r="F149" s="5">
        <v>0</v>
      </c>
      <c r="G149" s="5">
        <v>0</v>
      </c>
      <c r="H149" s="5">
        <v>0</v>
      </c>
      <c r="I149" s="5">
        <v>0</v>
      </c>
      <c r="J149" s="5">
        <v>1</v>
      </c>
      <c r="M149" s="6">
        <v>116</v>
      </c>
      <c r="N149" s="5">
        <v>768547.39012520411</v>
      </c>
      <c r="O149" s="7">
        <v>-50472.600125204073</v>
      </c>
    </row>
    <row r="150" spans="1:15">
      <c r="A150" s="5">
        <v>570964.84</v>
      </c>
      <c r="B150" s="5">
        <v>60322.400000000001</v>
      </c>
      <c r="C150" s="5">
        <v>3350</v>
      </c>
      <c r="D150" s="5">
        <v>89.4</v>
      </c>
      <c r="E150" s="5">
        <v>1</v>
      </c>
      <c r="F150" s="5">
        <v>0</v>
      </c>
      <c r="G150" s="5">
        <v>0</v>
      </c>
      <c r="H150" s="5">
        <v>0</v>
      </c>
      <c r="I150" s="5">
        <v>0</v>
      </c>
      <c r="J150" s="5">
        <v>1</v>
      </c>
      <c r="M150" s="6">
        <v>117</v>
      </c>
      <c r="N150" s="5">
        <v>707909.31889990298</v>
      </c>
      <c r="O150" s="7">
        <v>7033.1111000970704</v>
      </c>
    </row>
    <row r="151" spans="1:15">
      <c r="A151" s="5">
        <v>614024.91</v>
      </c>
      <c r="B151" s="5">
        <v>51575.68</v>
      </c>
      <c r="C151" s="5">
        <v>5329</v>
      </c>
      <c r="D151" s="5">
        <v>88.1</v>
      </c>
      <c r="E151" s="5">
        <v>0</v>
      </c>
      <c r="F151" s="5">
        <v>1</v>
      </c>
      <c r="G151" s="5">
        <v>0</v>
      </c>
      <c r="H151" s="5">
        <v>0</v>
      </c>
      <c r="I151" s="5">
        <v>0</v>
      </c>
      <c r="J151" s="5">
        <v>0</v>
      </c>
      <c r="M151" s="6">
        <v>118</v>
      </c>
      <c r="N151" s="5">
        <v>724483.25732421491</v>
      </c>
      <c r="O151" s="7">
        <v>96035.782675785129</v>
      </c>
    </row>
    <row r="152" spans="1:15">
      <c r="A152" s="5">
        <v>712868.35</v>
      </c>
      <c r="B152" s="5">
        <v>43319.94</v>
      </c>
      <c r="C152" s="5">
        <v>6551</v>
      </c>
      <c r="D152" s="5">
        <v>99</v>
      </c>
      <c r="E152" s="5">
        <v>0</v>
      </c>
      <c r="F152" s="5">
        <v>1</v>
      </c>
      <c r="G152" s="5">
        <v>0</v>
      </c>
      <c r="H152" s="5">
        <v>0</v>
      </c>
      <c r="I152" s="5">
        <v>0</v>
      </c>
      <c r="J152" s="5">
        <v>0</v>
      </c>
      <c r="M152" s="6">
        <v>119</v>
      </c>
      <c r="N152" s="5">
        <v>746972.99694329081</v>
      </c>
      <c r="O152" s="7">
        <v>-62755.676943290862</v>
      </c>
    </row>
    <row r="153" spans="1:15">
      <c r="A153" s="5">
        <v>696744.15</v>
      </c>
      <c r="B153" s="5">
        <v>47093.55</v>
      </c>
      <c r="C153" s="5">
        <v>5550</v>
      </c>
      <c r="D153" s="5">
        <v>95</v>
      </c>
      <c r="E153" s="5">
        <v>0</v>
      </c>
      <c r="F153" s="5">
        <v>1</v>
      </c>
      <c r="G153" s="5">
        <v>0</v>
      </c>
      <c r="H153" s="5">
        <v>0</v>
      </c>
      <c r="I153" s="5">
        <v>0</v>
      </c>
      <c r="J153" s="5">
        <v>0</v>
      </c>
      <c r="M153" s="6">
        <v>120</v>
      </c>
      <c r="N153" s="5">
        <v>735067.23290058901</v>
      </c>
      <c r="O153" s="7">
        <v>412.9570994109381</v>
      </c>
    </row>
    <row r="154" spans="1:15">
      <c r="A154" s="5">
        <v>725847.99</v>
      </c>
      <c r="B154" s="5">
        <v>71855.09</v>
      </c>
      <c r="C154" s="5">
        <v>5911</v>
      </c>
      <c r="D154" s="5">
        <v>94.3</v>
      </c>
      <c r="E154" s="5">
        <v>0</v>
      </c>
      <c r="F154" s="5">
        <v>1</v>
      </c>
      <c r="G154" s="5">
        <v>0</v>
      </c>
      <c r="H154" s="5">
        <v>0</v>
      </c>
      <c r="I154" s="5">
        <v>0</v>
      </c>
      <c r="J154" s="5">
        <v>0</v>
      </c>
      <c r="M154" s="6">
        <v>121</v>
      </c>
      <c r="N154" s="5">
        <v>556114.34548106487</v>
      </c>
      <c r="O154" s="7">
        <v>-46629.535481064871</v>
      </c>
    </row>
    <row r="155" spans="1:15">
      <c r="A155" s="5">
        <v>785028.25</v>
      </c>
      <c r="B155" s="5">
        <v>75645.23</v>
      </c>
      <c r="C155" s="5">
        <v>9674</v>
      </c>
      <c r="D155" s="5">
        <v>87.4</v>
      </c>
      <c r="E155" s="5">
        <v>0</v>
      </c>
      <c r="F155" s="5">
        <v>0</v>
      </c>
      <c r="G155" s="5">
        <v>1</v>
      </c>
      <c r="H155" s="5">
        <v>0</v>
      </c>
      <c r="I155" s="5">
        <v>1</v>
      </c>
      <c r="J155" s="5">
        <v>0</v>
      </c>
      <c r="M155" s="6">
        <v>122</v>
      </c>
      <c r="N155" s="5">
        <v>616204.65212179639</v>
      </c>
      <c r="O155" s="7">
        <v>38112.437878203578</v>
      </c>
    </row>
    <row r="156" spans="1:15">
      <c r="A156" s="5">
        <v>698492.67</v>
      </c>
      <c r="B156" s="5">
        <v>64374.75</v>
      </c>
      <c r="C156" s="5">
        <v>6740</v>
      </c>
      <c r="D156" s="5">
        <v>87</v>
      </c>
      <c r="E156" s="5">
        <v>0</v>
      </c>
      <c r="F156" s="5">
        <v>0</v>
      </c>
      <c r="G156" s="5">
        <v>1</v>
      </c>
      <c r="H156" s="5">
        <v>0</v>
      </c>
      <c r="I156" s="5">
        <v>1</v>
      </c>
      <c r="J156" s="5">
        <v>0</v>
      </c>
      <c r="M156" s="6">
        <v>123</v>
      </c>
      <c r="N156" s="5">
        <v>588757.48039915541</v>
      </c>
      <c r="O156" s="7">
        <v>-31270.220399155398</v>
      </c>
    </row>
    <row r="157" spans="1:15">
      <c r="A157" s="5">
        <v>685830.24</v>
      </c>
      <c r="B157" s="5">
        <v>61433.84</v>
      </c>
      <c r="C157" s="5">
        <v>7745</v>
      </c>
      <c r="D157" s="5">
        <v>90.5</v>
      </c>
      <c r="E157" s="5">
        <v>0</v>
      </c>
      <c r="F157" s="5">
        <v>0</v>
      </c>
      <c r="G157" s="5">
        <v>1</v>
      </c>
      <c r="H157" s="5">
        <v>0</v>
      </c>
      <c r="I157" s="5">
        <v>1</v>
      </c>
      <c r="J157" s="5">
        <v>0</v>
      </c>
      <c r="M157" s="6">
        <v>124</v>
      </c>
      <c r="N157" s="5">
        <v>504506.0180746041</v>
      </c>
      <c r="O157" s="7">
        <v>-63230.598074604117</v>
      </c>
    </row>
    <row r="158" spans="1:15">
      <c r="A158" s="5">
        <v>702318.94</v>
      </c>
      <c r="B158" s="5">
        <v>42698.14</v>
      </c>
      <c r="C158" s="5">
        <v>7693</v>
      </c>
      <c r="D158" s="5">
        <v>90.1</v>
      </c>
      <c r="E158" s="5">
        <v>0</v>
      </c>
      <c r="F158" s="5">
        <v>0</v>
      </c>
      <c r="G158" s="5">
        <v>1</v>
      </c>
      <c r="H158" s="5">
        <v>0</v>
      </c>
      <c r="I158" s="5">
        <v>1</v>
      </c>
      <c r="J158" s="5">
        <v>0</v>
      </c>
      <c r="M158" s="6">
        <v>125</v>
      </c>
      <c r="N158" s="5">
        <v>825619.93492633454</v>
      </c>
      <c r="O158" s="7">
        <v>88924.235073665506</v>
      </c>
    </row>
    <row r="159" spans="1:15">
      <c r="A159" s="5">
        <v>700078.32</v>
      </c>
      <c r="B159" s="5">
        <v>86883.31</v>
      </c>
      <c r="C159" s="5">
        <v>6424</v>
      </c>
      <c r="D159" s="5">
        <v>85.2</v>
      </c>
      <c r="E159" s="5">
        <v>1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M159" s="6">
        <v>126</v>
      </c>
      <c r="N159" s="5">
        <v>858892.03526079119</v>
      </c>
      <c r="O159" s="7">
        <v>-16452.36526079115</v>
      </c>
    </row>
    <row r="160" spans="1:15">
      <c r="A160" s="5">
        <v>602002.31999999995</v>
      </c>
      <c r="B160" s="5">
        <v>41863.08</v>
      </c>
      <c r="C160" s="5">
        <v>5400</v>
      </c>
      <c r="D160" s="5">
        <v>91.6</v>
      </c>
      <c r="E160" s="5">
        <v>1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M160" s="6">
        <v>127</v>
      </c>
      <c r="N160" s="5">
        <v>792113.80535500939</v>
      </c>
      <c r="O160" s="7">
        <v>50044.114644990652</v>
      </c>
    </row>
    <row r="161" spans="1:15">
      <c r="A161" s="5">
        <v>724216.07</v>
      </c>
      <c r="B161" s="5">
        <v>56918.16</v>
      </c>
      <c r="C161" s="5">
        <v>7015</v>
      </c>
      <c r="D161" s="5">
        <v>74.2</v>
      </c>
      <c r="E161" s="5">
        <v>1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M161" s="6">
        <v>128</v>
      </c>
      <c r="N161" s="5">
        <v>704251.26795204647</v>
      </c>
      <c r="O161" s="7">
        <v>-7095.9679520464269</v>
      </c>
    </row>
    <row r="162" spans="1:15">
      <c r="A162" s="5">
        <v>620973.03</v>
      </c>
      <c r="B162" s="5">
        <v>23254.57</v>
      </c>
      <c r="C162" s="5">
        <v>3847</v>
      </c>
      <c r="D162" s="5">
        <v>93</v>
      </c>
      <c r="E162" s="5">
        <v>1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M162" s="6">
        <v>129</v>
      </c>
      <c r="N162" s="5">
        <v>819077.21221747377</v>
      </c>
      <c r="O162" s="7">
        <v>29941.087782526272</v>
      </c>
    </row>
    <row r="163" spans="1:15">
      <c r="A163" s="5">
        <v>650480.06000000006</v>
      </c>
      <c r="B163" s="5">
        <v>41443.410000000003</v>
      </c>
      <c r="C163" s="5">
        <v>7455</v>
      </c>
      <c r="D163" s="5">
        <v>90.1</v>
      </c>
      <c r="E163" s="5">
        <v>0</v>
      </c>
      <c r="F163" s="5">
        <v>1</v>
      </c>
      <c r="G163" s="5">
        <v>0</v>
      </c>
      <c r="H163" s="5">
        <v>0</v>
      </c>
      <c r="I163" s="5">
        <v>1</v>
      </c>
      <c r="J163" s="5">
        <v>0</v>
      </c>
      <c r="M163" s="6">
        <v>130</v>
      </c>
      <c r="N163" s="5">
        <v>799874.60327203362</v>
      </c>
      <c r="O163" s="7">
        <v>1955.7467279663542</v>
      </c>
    </row>
    <row r="164" spans="1:15">
      <c r="A164" s="5">
        <v>778298.88</v>
      </c>
      <c r="B164" s="5">
        <v>48438.85</v>
      </c>
      <c r="C164" s="5">
        <v>6992</v>
      </c>
      <c r="D164" s="5">
        <v>91</v>
      </c>
      <c r="E164" s="5">
        <v>0</v>
      </c>
      <c r="F164" s="5">
        <v>1</v>
      </c>
      <c r="G164" s="5">
        <v>0</v>
      </c>
      <c r="H164" s="5">
        <v>0</v>
      </c>
      <c r="I164" s="5">
        <v>1</v>
      </c>
      <c r="J164" s="5">
        <v>0</v>
      </c>
      <c r="M164" s="6">
        <v>131</v>
      </c>
      <c r="N164" s="5">
        <v>783100.99280581705</v>
      </c>
      <c r="O164" s="7">
        <v>-57865.71280581702</v>
      </c>
    </row>
    <row r="165" spans="1:15">
      <c r="A165" s="5">
        <v>677096.71</v>
      </c>
      <c r="B165" s="5">
        <v>57143.3</v>
      </c>
      <c r="C165" s="5">
        <v>8038</v>
      </c>
      <c r="D165" s="5">
        <v>72.599999999999994</v>
      </c>
      <c r="E165" s="5">
        <v>0</v>
      </c>
      <c r="F165" s="5">
        <v>1</v>
      </c>
      <c r="G165" s="5">
        <v>0</v>
      </c>
      <c r="H165" s="5">
        <v>0</v>
      </c>
      <c r="I165" s="5">
        <v>1</v>
      </c>
      <c r="J165" s="5">
        <v>0</v>
      </c>
      <c r="M165" s="6">
        <v>132</v>
      </c>
      <c r="N165" s="5">
        <v>816930.39254367177</v>
      </c>
      <c r="O165" s="7">
        <v>-5477.672543671797</v>
      </c>
    </row>
    <row r="166" spans="1:15">
      <c r="A166" s="5">
        <v>692008.64</v>
      </c>
      <c r="B166" s="5">
        <v>66870.62</v>
      </c>
      <c r="C166" s="5">
        <v>6055</v>
      </c>
      <c r="D166" s="5">
        <v>93.8</v>
      </c>
      <c r="E166" s="5">
        <v>0</v>
      </c>
      <c r="F166" s="5">
        <v>1</v>
      </c>
      <c r="G166" s="5">
        <v>0</v>
      </c>
      <c r="H166" s="5">
        <v>0</v>
      </c>
      <c r="I166" s="5">
        <v>1</v>
      </c>
      <c r="J166" s="5">
        <v>0</v>
      </c>
      <c r="M166" s="6">
        <v>133</v>
      </c>
      <c r="N166" s="5">
        <v>574547.18427695334</v>
      </c>
      <c r="O166" s="7">
        <v>-47247.054276953335</v>
      </c>
    </row>
    <row r="167" spans="1:15">
      <c r="A167" s="5">
        <v>825797.91</v>
      </c>
      <c r="B167" s="5">
        <v>72150.53</v>
      </c>
      <c r="C167" s="5">
        <v>9323</v>
      </c>
      <c r="D167" s="5">
        <v>82.9</v>
      </c>
      <c r="E167" s="5">
        <v>1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M167" s="6">
        <v>134</v>
      </c>
      <c r="N167" s="5">
        <v>455512.46636118041</v>
      </c>
      <c r="O167" s="7">
        <v>-54680.81636118039</v>
      </c>
    </row>
    <row r="168" spans="1:15">
      <c r="A168" s="5">
        <v>706285.52</v>
      </c>
      <c r="B168" s="5">
        <v>35303.300000000003</v>
      </c>
      <c r="C168" s="5">
        <v>8789</v>
      </c>
      <c r="D168" s="5">
        <v>86.1</v>
      </c>
      <c r="E168" s="5">
        <v>1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M168" s="6">
        <v>135</v>
      </c>
      <c r="N168" s="5">
        <v>595438.81474128121</v>
      </c>
      <c r="O168" s="7">
        <v>-2191.5647412812104</v>
      </c>
    </row>
    <row r="169" spans="1:15">
      <c r="A169" s="5">
        <v>665534.69999999995</v>
      </c>
      <c r="B169" s="5">
        <v>30301.86</v>
      </c>
      <c r="C169" s="5">
        <v>6939</v>
      </c>
      <c r="D169" s="5">
        <v>90.3</v>
      </c>
      <c r="E169" s="5">
        <v>1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M169" s="6">
        <v>136</v>
      </c>
      <c r="N169" s="5">
        <v>543712.52315776004</v>
      </c>
      <c r="O169" s="7">
        <v>-14636.573157760082</v>
      </c>
    </row>
    <row r="170" spans="1:15">
      <c r="A170" s="5">
        <v>820729.29</v>
      </c>
      <c r="B170" s="5">
        <v>78432.14</v>
      </c>
      <c r="C170" s="5">
        <v>9440</v>
      </c>
      <c r="D170" s="5">
        <v>89.2</v>
      </c>
      <c r="E170" s="5">
        <v>1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M170" s="6">
        <v>137</v>
      </c>
      <c r="N170" s="5">
        <v>706131.82079054473</v>
      </c>
      <c r="O170" s="7">
        <v>-72493.790790544706</v>
      </c>
    </row>
    <row r="171" spans="1:15">
      <c r="A171" s="5">
        <v>739831.73</v>
      </c>
      <c r="B171" s="5">
        <v>62059.18</v>
      </c>
      <c r="C171" s="5">
        <v>9374</v>
      </c>
      <c r="D171" s="5">
        <v>87.1</v>
      </c>
      <c r="E171" s="5">
        <v>0</v>
      </c>
      <c r="F171" s="5">
        <v>0</v>
      </c>
      <c r="G171" s="5">
        <v>1</v>
      </c>
      <c r="H171" s="5">
        <v>0</v>
      </c>
      <c r="I171" s="5">
        <v>0</v>
      </c>
      <c r="J171" s="5">
        <v>1</v>
      </c>
      <c r="M171" s="6">
        <v>138</v>
      </c>
      <c r="N171" s="5">
        <v>708864.11425246543</v>
      </c>
      <c r="O171" s="7">
        <v>34484.72574753454</v>
      </c>
    </row>
    <row r="172" spans="1:15">
      <c r="A172" s="5">
        <v>593637.14</v>
      </c>
      <c r="B172" s="5">
        <v>32834.480000000003</v>
      </c>
      <c r="C172" s="5">
        <v>7576</v>
      </c>
      <c r="D172" s="5">
        <v>84.1</v>
      </c>
      <c r="E172" s="5">
        <v>0</v>
      </c>
      <c r="F172" s="5">
        <v>0</v>
      </c>
      <c r="G172" s="5">
        <v>1</v>
      </c>
      <c r="H172" s="5">
        <v>0</v>
      </c>
      <c r="I172" s="5">
        <v>0</v>
      </c>
      <c r="J172" s="5">
        <v>1</v>
      </c>
      <c r="M172" s="6">
        <v>139</v>
      </c>
      <c r="N172" s="5">
        <v>694623.5630923562</v>
      </c>
      <c r="O172" s="7">
        <v>64204.076907643816</v>
      </c>
    </row>
    <row r="173" spans="1:15">
      <c r="A173" s="5">
        <v>769702.76</v>
      </c>
      <c r="B173" s="5">
        <v>50825.08</v>
      </c>
      <c r="C173" s="5">
        <v>8949</v>
      </c>
      <c r="D173" s="5">
        <v>84.7</v>
      </c>
      <c r="E173" s="5">
        <v>0</v>
      </c>
      <c r="F173" s="5">
        <v>0</v>
      </c>
      <c r="G173" s="5">
        <v>1</v>
      </c>
      <c r="H173" s="5">
        <v>0</v>
      </c>
      <c r="I173" s="5">
        <v>0</v>
      </c>
      <c r="J173" s="5">
        <v>1</v>
      </c>
      <c r="M173" s="6">
        <v>140</v>
      </c>
      <c r="N173" s="5">
        <v>627113.76354389486</v>
      </c>
      <c r="O173" s="7">
        <v>19445.946456105099</v>
      </c>
    </row>
    <row r="174" spans="1:15">
      <c r="A174" s="5">
        <v>679731.57</v>
      </c>
      <c r="B174" s="5">
        <v>36606.51</v>
      </c>
      <c r="C174" s="5">
        <v>7671</v>
      </c>
      <c r="D174" s="5">
        <v>89.8</v>
      </c>
      <c r="E174" s="5">
        <v>0</v>
      </c>
      <c r="F174" s="5">
        <v>0</v>
      </c>
      <c r="G174" s="5">
        <v>1</v>
      </c>
      <c r="H174" s="5">
        <v>0</v>
      </c>
      <c r="I174" s="5">
        <v>0</v>
      </c>
      <c r="J174" s="5">
        <v>1</v>
      </c>
      <c r="M174" s="6">
        <v>141</v>
      </c>
      <c r="N174" s="5">
        <v>679974.46265248617</v>
      </c>
      <c r="O174" s="7">
        <v>35916.067347513861</v>
      </c>
    </row>
    <row r="175" spans="1:15">
      <c r="A175" s="5">
        <v>780344.18</v>
      </c>
      <c r="B175" s="5">
        <v>65237.79</v>
      </c>
      <c r="C175" s="5">
        <v>8741</v>
      </c>
      <c r="D175" s="5">
        <v>94.4</v>
      </c>
      <c r="E175" s="5">
        <v>0</v>
      </c>
      <c r="F175" s="5">
        <v>0</v>
      </c>
      <c r="G175" s="5">
        <v>1</v>
      </c>
      <c r="H175" s="5">
        <v>0</v>
      </c>
      <c r="I175" s="5">
        <v>0</v>
      </c>
      <c r="J175" s="5">
        <v>1</v>
      </c>
      <c r="M175" s="6">
        <v>142</v>
      </c>
      <c r="N175" s="5">
        <v>698542.54529453674</v>
      </c>
      <c r="O175" s="7">
        <v>16555.024705463205</v>
      </c>
    </row>
    <row r="176" spans="1:15">
      <c r="A176" s="5">
        <v>721364.11</v>
      </c>
      <c r="B176" s="5">
        <v>43645.98</v>
      </c>
      <c r="C176" s="5">
        <v>9480</v>
      </c>
      <c r="D176" s="5">
        <v>89</v>
      </c>
      <c r="E176" s="5">
        <v>0</v>
      </c>
      <c r="F176" s="5">
        <v>0</v>
      </c>
      <c r="G176" s="5">
        <v>1</v>
      </c>
      <c r="H176" s="5">
        <v>0</v>
      </c>
      <c r="I176" s="5">
        <v>0</v>
      </c>
      <c r="J176" s="5">
        <v>1</v>
      </c>
      <c r="M176" s="6">
        <v>143</v>
      </c>
      <c r="N176" s="5">
        <v>643818.95692746656</v>
      </c>
      <c r="O176" s="7">
        <v>38820.323072533472</v>
      </c>
    </row>
    <row r="177" spans="1:15">
      <c r="A177" s="5">
        <v>758138.29</v>
      </c>
      <c r="B177" s="5">
        <v>68040.149999999994</v>
      </c>
      <c r="C177" s="5">
        <v>9826</v>
      </c>
      <c r="D177" s="5">
        <v>83.9</v>
      </c>
      <c r="E177" s="5">
        <v>0</v>
      </c>
      <c r="F177" s="5">
        <v>0</v>
      </c>
      <c r="G177" s="5">
        <v>1</v>
      </c>
      <c r="H177" s="5">
        <v>0</v>
      </c>
      <c r="I177" s="5">
        <v>0</v>
      </c>
      <c r="J177" s="5">
        <v>1</v>
      </c>
      <c r="M177" s="6">
        <v>144</v>
      </c>
      <c r="N177" s="5">
        <v>682464.17044978181</v>
      </c>
      <c r="O177" s="7">
        <v>12634.339550218196</v>
      </c>
    </row>
    <row r="178" spans="1:15">
      <c r="A178" s="5">
        <v>804264</v>
      </c>
      <c r="B178" s="5">
        <v>63043.94</v>
      </c>
      <c r="C178" s="5">
        <v>10402</v>
      </c>
      <c r="D178" s="5">
        <v>93.9</v>
      </c>
      <c r="E178" s="5">
        <v>0</v>
      </c>
      <c r="F178" s="5">
        <v>0</v>
      </c>
      <c r="G178" s="5">
        <v>1</v>
      </c>
      <c r="H178" s="5">
        <v>0</v>
      </c>
      <c r="I178" s="5">
        <v>0</v>
      </c>
      <c r="J178" s="5">
        <v>1</v>
      </c>
      <c r="M178" s="6">
        <v>145</v>
      </c>
      <c r="N178" s="5">
        <v>608001.5621730421</v>
      </c>
      <c r="O178" s="7">
        <v>-30268.992173042148</v>
      </c>
    </row>
    <row r="179" spans="1:15">
      <c r="A179" s="5">
        <v>887537.75</v>
      </c>
      <c r="B179" s="5">
        <v>67494.09</v>
      </c>
      <c r="C179" s="5">
        <v>12361</v>
      </c>
      <c r="D179" s="5">
        <v>76.599999999999994</v>
      </c>
      <c r="E179" s="5">
        <v>0</v>
      </c>
      <c r="F179" s="5">
        <v>0</v>
      </c>
      <c r="G179" s="5">
        <v>0</v>
      </c>
      <c r="H179" s="5">
        <v>1</v>
      </c>
      <c r="I179" s="5">
        <v>0</v>
      </c>
      <c r="J179" s="5">
        <v>0</v>
      </c>
      <c r="M179" s="6">
        <v>146</v>
      </c>
      <c r="N179" s="5">
        <v>555821.84920546121</v>
      </c>
      <c r="O179" s="7">
        <v>-18763.519205461256</v>
      </c>
    </row>
    <row r="180" spans="1:15">
      <c r="A180" s="5">
        <v>783582</v>
      </c>
      <c r="B180" s="5">
        <v>29389.32</v>
      </c>
      <c r="C180" s="5">
        <v>7925</v>
      </c>
      <c r="D180" s="5">
        <v>90.9</v>
      </c>
      <c r="E180" s="5">
        <v>0</v>
      </c>
      <c r="F180" s="5">
        <v>0</v>
      </c>
      <c r="G180" s="5">
        <v>0</v>
      </c>
      <c r="H180" s="5">
        <v>1</v>
      </c>
      <c r="I180" s="5">
        <v>0</v>
      </c>
      <c r="J180" s="5">
        <v>0</v>
      </c>
      <c r="M180" s="6">
        <v>147</v>
      </c>
      <c r="N180" s="5">
        <v>596207.14324977982</v>
      </c>
      <c r="O180" s="7">
        <v>5361.7267502201721</v>
      </c>
    </row>
    <row r="181" spans="1:15">
      <c r="A181" s="5">
        <v>781955.52</v>
      </c>
      <c r="B181" s="5">
        <v>40535.089999999997</v>
      </c>
      <c r="C181" s="5">
        <v>8870</v>
      </c>
      <c r="D181" s="5">
        <v>86.6</v>
      </c>
      <c r="E181" s="5">
        <v>0</v>
      </c>
      <c r="F181" s="5">
        <v>0</v>
      </c>
      <c r="G181" s="5">
        <v>0</v>
      </c>
      <c r="H181" s="5">
        <v>1</v>
      </c>
      <c r="I181" s="5">
        <v>0</v>
      </c>
      <c r="J181" s="5">
        <v>0</v>
      </c>
      <c r="M181" s="6">
        <v>148</v>
      </c>
      <c r="N181" s="5">
        <v>560978.7963078696</v>
      </c>
      <c r="O181" s="7">
        <v>9986.0436921303626</v>
      </c>
    </row>
    <row r="182" spans="1:15">
      <c r="A182" s="5">
        <v>898031.04</v>
      </c>
      <c r="B182" s="5">
        <v>74881.56</v>
      </c>
      <c r="C182" s="5">
        <v>9999</v>
      </c>
      <c r="D182" s="5">
        <v>89.6</v>
      </c>
      <c r="E182" s="5">
        <v>0</v>
      </c>
      <c r="F182" s="5">
        <v>0</v>
      </c>
      <c r="G182" s="5">
        <v>0</v>
      </c>
      <c r="H182" s="5">
        <v>1</v>
      </c>
      <c r="I182" s="5">
        <v>0</v>
      </c>
      <c r="J182" s="5">
        <v>0</v>
      </c>
      <c r="M182" s="6">
        <v>149</v>
      </c>
      <c r="N182" s="5">
        <v>654505.03293409653</v>
      </c>
      <c r="O182" s="7">
        <v>-40480.122934096493</v>
      </c>
    </row>
    <row r="183" spans="1:15">
      <c r="A183" s="5">
        <v>855341.28</v>
      </c>
      <c r="B183" s="5">
        <v>68491.11</v>
      </c>
      <c r="C183" s="5">
        <v>11154</v>
      </c>
      <c r="D183" s="5">
        <v>89.4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1</v>
      </c>
      <c r="M183" s="6">
        <v>150</v>
      </c>
      <c r="N183" s="5">
        <v>718348.80008340173</v>
      </c>
      <c r="O183" s="7">
        <v>-5480.4500834017526</v>
      </c>
    </row>
    <row r="184" spans="1:15">
      <c r="A184" s="5">
        <v>751393.88</v>
      </c>
      <c r="B184" s="5">
        <v>45209.25</v>
      </c>
      <c r="C184" s="5">
        <v>9287</v>
      </c>
      <c r="D184" s="5">
        <v>86.4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1</v>
      </c>
      <c r="M184" s="6">
        <v>151</v>
      </c>
      <c r="N184" s="5">
        <v>677094.44421000441</v>
      </c>
      <c r="O184" s="7">
        <v>19649.705789995613</v>
      </c>
    </row>
    <row r="185" spans="1:15">
      <c r="A185" s="5">
        <v>761077.08</v>
      </c>
      <c r="B185" s="5">
        <v>63010.23</v>
      </c>
      <c r="C185" s="5">
        <v>9812</v>
      </c>
      <c r="D185" s="5">
        <v>76.8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1</v>
      </c>
      <c r="M185" s="6">
        <v>152</v>
      </c>
      <c r="N185" s="5">
        <v>716670.52027006785</v>
      </c>
      <c r="O185" s="7">
        <v>9177.4697299321415</v>
      </c>
    </row>
    <row r="186" spans="1:15">
      <c r="A186" s="5">
        <v>819660.59</v>
      </c>
      <c r="B186" s="5">
        <v>57948.88</v>
      </c>
      <c r="C186" s="5">
        <v>10741</v>
      </c>
      <c r="D186" s="5">
        <v>90.1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1</v>
      </c>
      <c r="M186" s="6">
        <v>153</v>
      </c>
      <c r="N186" s="5">
        <v>795612.67170266039</v>
      </c>
      <c r="O186" s="7">
        <v>-10584.421702660387</v>
      </c>
    </row>
    <row r="187" spans="1:15">
      <c r="A187" s="5">
        <v>681855.56</v>
      </c>
      <c r="B187" s="5">
        <v>71941.62</v>
      </c>
      <c r="C187" s="5">
        <v>6084</v>
      </c>
      <c r="D187" s="5">
        <v>93.7</v>
      </c>
      <c r="E187" s="5">
        <v>1</v>
      </c>
      <c r="F187" s="5">
        <v>0</v>
      </c>
      <c r="G187" s="5">
        <v>0</v>
      </c>
      <c r="H187" s="5">
        <v>0</v>
      </c>
      <c r="I187" s="5">
        <v>1</v>
      </c>
      <c r="J187" s="5">
        <v>0</v>
      </c>
      <c r="M187" s="6">
        <v>154</v>
      </c>
      <c r="N187" s="5">
        <v>681690.1077135721</v>
      </c>
      <c r="O187" s="7">
        <v>16802.562286427943</v>
      </c>
    </row>
    <row r="188" spans="1:15">
      <c r="A188" s="5">
        <v>678311.17</v>
      </c>
      <c r="B188" s="5">
        <v>57147.88</v>
      </c>
      <c r="C188" s="5">
        <v>5252</v>
      </c>
      <c r="D188" s="5">
        <v>95.5</v>
      </c>
      <c r="E188" s="5">
        <v>1</v>
      </c>
      <c r="F188" s="5">
        <v>0</v>
      </c>
      <c r="G188" s="5">
        <v>0</v>
      </c>
      <c r="H188" s="5">
        <v>0</v>
      </c>
      <c r="I188" s="5">
        <v>1</v>
      </c>
      <c r="J188" s="5">
        <v>0</v>
      </c>
      <c r="M188" s="6">
        <v>155</v>
      </c>
      <c r="N188" s="5">
        <v>722588.81318495842</v>
      </c>
      <c r="O188" s="7">
        <v>-36758.573184958426</v>
      </c>
    </row>
    <row r="189" spans="1:15">
      <c r="A189" s="5">
        <v>765906.95</v>
      </c>
      <c r="B189" s="5">
        <v>48031.74</v>
      </c>
      <c r="C189" s="5">
        <v>6516</v>
      </c>
      <c r="D189" s="5">
        <v>99</v>
      </c>
      <c r="E189" s="5">
        <v>1</v>
      </c>
      <c r="F189" s="5">
        <v>0</v>
      </c>
      <c r="G189" s="5">
        <v>0</v>
      </c>
      <c r="H189" s="5">
        <v>0</v>
      </c>
      <c r="I189" s="5">
        <v>1</v>
      </c>
      <c r="J189" s="5">
        <v>0</v>
      </c>
      <c r="M189" s="6">
        <v>156</v>
      </c>
      <c r="N189" s="5">
        <v>697378.87651304656</v>
      </c>
      <c r="O189" s="7">
        <v>4940.0634869533824</v>
      </c>
    </row>
    <row r="190" spans="1:15">
      <c r="A190" s="5">
        <v>712546.38</v>
      </c>
      <c r="B190" s="5">
        <v>72784.800000000003</v>
      </c>
      <c r="C190" s="5">
        <v>7932</v>
      </c>
      <c r="D190" s="5">
        <v>74.900000000000006</v>
      </c>
      <c r="E190" s="5">
        <v>1</v>
      </c>
      <c r="F190" s="5">
        <v>0</v>
      </c>
      <c r="G190" s="5">
        <v>0</v>
      </c>
      <c r="H190" s="5">
        <v>0</v>
      </c>
      <c r="I190" s="5">
        <v>1</v>
      </c>
      <c r="J190" s="5">
        <v>0</v>
      </c>
      <c r="M190" s="6">
        <v>157</v>
      </c>
      <c r="N190" s="5">
        <v>713062.26431725523</v>
      </c>
      <c r="O190" s="7">
        <v>-12983.944317255286</v>
      </c>
    </row>
    <row r="191" spans="1:15">
      <c r="A191" s="5">
        <v>625993.82999999996</v>
      </c>
      <c r="B191" s="5">
        <v>71641.899999999994</v>
      </c>
      <c r="C191" s="5">
        <v>3506</v>
      </c>
      <c r="D191" s="5">
        <v>86.4</v>
      </c>
      <c r="E191" s="5">
        <v>0</v>
      </c>
      <c r="F191" s="5">
        <v>0</v>
      </c>
      <c r="G191" s="5">
        <v>1</v>
      </c>
      <c r="H191" s="5">
        <v>0</v>
      </c>
      <c r="I191" s="5">
        <v>1</v>
      </c>
      <c r="J191" s="5">
        <v>0</v>
      </c>
      <c r="M191" s="6">
        <v>158</v>
      </c>
      <c r="N191" s="5">
        <v>643841.79953823169</v>
      </c>
      <c r="O191" s="7">
        <v>-41839.479538231739</v>
      </c>
    </row>
    <row r="192" spans="1:15">
      <c r="A192" s="5">
        <v>550962.93000000005</v>
      </c>
      <c r="B192" s="5">
        <v>55788.61</v>
      </c>
      <c r="C192" s="5">
        <v>2312</v>
      </c>
      <c r="D192" s="5">
        <v>91.3</v>
      </c>
      <c r="E192" s="5">
        <v>0</v>
      </c>
      <c r="F192" s="5">
        <v>0</v>
      </c>
      <c r="G192" s="5">
        <v>1</v>
      </c>
      <c r="H192" s="5">
        <v>0</v>
      </c>
      <c r="I192" s="5">
        <v>1</v>
      </c>
      <c r="J192" s="5">
        <v>0</v>
      </c>
      <c r="M192" s="6">
        <v>159</v>
      </c>
      <c r="N192" s="5">
        <v>664890.11227732408</v>
      </c>
      <c r="O192" s="7">
        <v>59325.95772267587</v>
      </c>
    </row>
    <row r="193" spans="1:15">
      <c r="A193" s="5">
        <v>443275.59</v>
      </c>
      <c r="B193" s="5">
        <v>37705.879999999997</v>
      </c>
      <c r="C193" s="5">
        <v>1268</v>
      </c>
      <c r="D193" s="5">
        <v>84.1</v>
      </c>
      <c r="E193" s="5">
        <v>0</v>
      </c>
      <c r="F193" s="5">
        <v>0</v>
      </c>
      <c r="G193" s="5">
        <v>1</v>
      </c>
      <c r="H193" s="5">
        <v>0</v>
      </c>
      <c r="I193" s="5">
        <v>1</v>
      </c>
      <c r="J193" s="5">
        <v>0</v>
      </c>
      <c r="M193" s="6">
        <v>160</v>
      </c>
      <c r="N193" s="5">
        <v>573289.71805558039</v>
      </c>
      <c r="O193" s="7">
        <v>47683.311944419635</v>
      </c>
    </row>
    <row r="194" spans="1:15">
      <c r="A194" s="5">
        <v>554012.06999999995</v>
      </c>
      <c r="B194" s="5">
        <v>54966.18</v>
      </c>
      <c r="C194" s="5">
        <v>4423</v>
      </c>
      <c r="D194" s="5">
        <v>88.7</v>
      </c>
      <c r="E194" s="5">
        <v>0</v>
      </c>
      <c r="F194" s="5">
        <v>0</v>
      </c>
      <c r="G194" s="5">
        <v>1</v>
      </c>
      <c r="H194" s="5">
        <v>0</v>
      </c>
      <c r="I194" s="5">
        <v>1</v>
      </c>
      <c r="J194" s="5">
        <v>0</v>
      </c>
      <c r="M194" s="6">
        <v>161</v>
      </c>
      <c r="N194" s="5">
        <v>708077.38585243491</v>
      </c>
      <c r="O194" s="7">
        <v>-57597.325852434849</v>
      </c>
    </row>
    <row r="195" spans="1:15">
      <c r="A195" s="5">
        <v>643428.85</v>
      </c>
      <c r="B195" s="5">
        <v>81796.740000000005</v>
      </c>
      <c r="C195" s="5">
        <v>6177</v>
      </c>
      <c r="D195" s="5">
        <v>87.9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1</v>
      </c>
      <c r="M195" s="6">
        <v>162</v>
      </c>
      <c r="N195" s="5">
        <v>703378.52281687246</v>
      </c>
      <c r="O195" s="7">
        <v>74920.357183127548</v>
      </c>
    </row>
    <row r="196" spans="1:15">
      <c r="A196" s="5">
        <v>611924.27</v>
      </c>
      <c r="B196" s="5">
        <v>51133.43</v>
      </c>
      <c r="C196" s="5">
        <v>5150</v>
      </c>
      <c r="D196" s="5">
        <v>88.5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1</v>
      </c>
      <c r="M196" s="6">
        <v>163</v>
      </c>
      <c r="N196" s="5">
        <v>694652.50966656581</v>
      </c>
      <c r="O196" s="7">
        <v>-17555.799666565843</v>
      </c>
    </row>
    <row r="197" spans="1:15">
      <c r="A197" s="5">
        <v>559422.02</v>
      </c>
      <c r="B197" s="5">
        <v>40220.18</v>
      </c>
      <c r="C197" s="5">
        <v>3783</v>
      </c>
      <c r="D197" s="5">
        <v>86.6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1</v>
      </c>
      <c r="M197" s="6">
        <v>164</v>
      </c>
      <c r="N197" s="5">
        <v>701846.97640901222</v>
      </c>
      <c r="O197" s="7">
        <v>-9838.336409012205</v>
      </c>
    </row>
    <row r="198" spans="1:15">
      <c r="A198" s="5">
        <v>449465.06</v>
      </c>
      <c r="B198" s="5">
        <v>41657.64</v>
      </c>
      <c r="C198" s="5">
        <v>3135</v>
      </c>
      <c r="D198" s="5">
        <v>85.4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1</v>
      </c>
      <c r="M198" s="6">
        <v>165</v>
      </c>
      <c r="N198" s="5">
        <v>786903.12322777428</v>
      </c>
      <c r="O198" s="7">
        <v>38894.786772225751</v>
      </c>
    </row>
    <row r="199" spans="1:15">
      <c r="A199" s="5">
        <v>691447.43</v>
      </c>
      <c r="B199" s="5">
        <v>71851.45</v>
      </c>
      <c r="C199" s="5">
        <v>4970</v>
      </c>
      <c r="D199" s="5">
        <v>89.6</v>
      </c>
      <c r="E199" s="5">
        <v>1</v>
      </c>
      <c r="F199" s="5">
        <v>0</v>
      </c>
      <c r="G199" s="5">
        <v>0</v>
      </c>
      <c r="H199" s="5">
        <v>0</v>
      </c>
      <c r="I199" s="5">
        <v>0</v>
      </c>
      <c r="J199" s="5">
        <v>1</v>
      </c>
      <c r="M199" s="6">
        <v>166</v>
      </c>
      <c r="N199" s="5">
        <v>734510.35028919228</v>
      </c>
      <c r="O199" s="7">
        <v>-28224.830289192265</v>
      </c>
    </row>
    <row r="200" spans="1:15">
      <c r="A200" s="5">
        <v>574066.61</v>
      </c>
      <c r="B200" s="5">
        <v>54002.83</v>
      </c>
      <c r="C200" s="5">
        <v>4366</v>
      </c>
      <c r="D200" s="5">
        <v>90.6</v>
      </c>
      <c r="E200" s="5">
        <v>1</v>
      </c>
      <c r="F200" s="5">
        <v>0</v>
      </c>
      <c r="G200" s="5">
        <v>0</v>
      </c>
      <c r="H200" s="5">
        <v>0</v>
      </c>
      <c r="I200" s="5">
        <v>0</v>
      </c>
      <c r="J200" s="5">
        <v>1</v>
      </c>
      <c r="M200" s="6">
        <v>167</v>
      </c>
      <c r="N200" s="5">
        <v>678363.53205357748</v>
      </c>
      <c r="O200" s="7">
        <v>-12828.832053577527</v>
      </c>
    </row>
    <row r="201" spans="1:15">
      <c r="A201" s="5">
        <v>578949.84</v>
      </c>
      <c r="B201" s="5">
        <v>54479.33</v>
      </c>
      <c r="C201" s="5">
        <v>5012</v>
      </c>
      <c r="D201" s="5">
        <v>86</v>
      </c>
      <c r="E201" s="5">
        <v>1</v>
      </c>
      <c r="F201" s="5">
        <v>0</v>
      </c>
      <c r="G201" s="5">
        <v>0</v>
      </c>
      <c r="H201" s="5">
        <v>0</v>
      </c>
      <c r="I201" s="5">
        <v>0</v>
      </c>
      <c r="J201" s="5">
        <v>1</v>
      </c>
      <c r="M201" s="6">
        <v>168</v>
      </c>
      <c r="N201" s="5">
        <v>816985.52762670105</v>
      </c>
      <c r="O201" s="7">
        <v>3743.7623732989887</v>
      </c>
    </row>
    <row r="202" spans="1:15">
      <c r="A202" s="5">
        <v>735786.64</v>
      </c>
      <c r="B202" s="5">
        <v>61391.8</v>
      </c>
      <c r="C202" s="5">
        <v>5575</v>
      </c>
      <c r="D202" s="5">
        <v>90</v>
      </c>
      <c r="E202" s="5">
        <v>1</v>
      </c>
      <c r="F202" s="5">
        <v>0</v>
      </c>
      <c r="G202" s="5">
        <v>0</v>
      </c>
      <c r="H202" s="5">
        <v>0</v>
      </c>
      <c r="I202" s="5">
        <v>0</v>
      </c>
      <c r="J202" s="5">
        <v>1</v>
      </c>
      <c r="M202" s="6">
        <v>169</v>
      </c>
      <c r="N202" s="5">
        <v>751844.7720024283</v>
      </c>
      <c r="O202" s="7">
        <v>-12013.042002428323</v>
      </c>
    </row>
    <row r="203" spans="1:15">
      <c r="A203" s="5">
        <v>598904.9</v>
      </c>
      <c r="B203" s="5">
        <v>22312.93</v>
      </c>
      <c r="C203" s="5">
        <v>5955</v>
      </c>
      <c r="D203" s="5">
        <v>84.2</v>
      </c>
      <c r="E203" s="5">
        <v>0</v>
      </c>
      <c r="F203" s="5">
        <v>0</v>
      </c>
      <c r="G203" s="5">
        <v>1</v>
      </c>
      <c r="H203" s="5">
        <v>1</v>
      </c>
      <c r="I203" s="5">
        <v>0</v>
      </c>
      <c r="J203" s="5">
        <v>0</v>
      </c>
      <c r="M203" s="6">
        <v>170</v>
      </c>
      <c r="N203" s="5">
        <v>647351.61166683922</v>
      </c>
      <c r="O203" s="7">
        <v>-53714.471666839207</v>
      </c>
    </row>
    <row r="204" spans="1:15">
      <c r="A204" s="5">
        <v>787715.51</v>
      </c>
      <c r="B204" s="5">
        <v>78111.97</v>
      </c>
      <c r="C204" s="5">
        <v>6389</v>
      </c>
      <c r="D204" s="5">
        <v>83.9</v>
      </c>
      <c r="E204" s="5">
        <v>0</v>
      </c>
      <c r="F204" s="5">
        <v>0</v>
      </c>
      <c r="G204" s="5">
        <v>1</v>
      </c>
      <c r="H204" s="5">
        <v>1</v>
      </c>
      <c r="I204" s="5">
        <v>0</v>
      </c>
      <c r="J204" s="5">
        <v>0</v>
      </c>
      <c r="M204" s="6">
        <v>171</v>
      </c>
      <c r="N204" s="5">
        <v>716997.16984847304</v>
      </c>
      <c r="O204" s="7">
        <v>52705.590151526965</v>
      </c>
    </row>
    <row r="205" spans="1:15">
      <c r="A205" s="5">
        <v>607084.92000000004</v>
      </c>
      <c r="B205" s="5">
        <v>35203.230000000003</v>
      </c>
      <c r="C205" s="5">
        <v>6896</v>
      </c>
      <c r="D205" s="5">
        <v>80.8</v>
      </c>
      <c r="E205" s="5">
        <v>0</v>
      </c>
      <c r="F205" s="5">
        <v>0</v>
      </c>
      <c r="G205" s="5">
        <v>1</v>
      </c>
      <c r="H205" s="5">
        <v>1</v>
      </c>
      <c r="I205" s="5">
        <v>0</v>
      </c>
      <c r="J205" s="5">
        <v>0</v>
      </c>
      <c r="M205" s="6">
        <v>172</v>
      </c>
      <c r="N205" s="5">
        <v>671930.05843632645</v>
      </c>
      <c r="O205" s="7">
        <v>7801.511563673499</v>
      </c>
    </row>
    <row r="206" spans="1:15">
      <c r="A206" s="5">
        <v>650795.49</v>
      </c>
      <c r="B206" s="5">
        <v>64104.28</v>
      </c>
      <c r="C206" s="5">
        <v>6015</v>
      </c>
      <c r="D206" s="5">
        <v>88.7</v>
      </c>
      <c r="E206" s="5">
        <v>0</v>
      </c>
      <c r="F206" s="5">
        <v>0</v>
      </c>
      <c r="G206" s="5">
        <v>1</v>
      </c>
      <c r="H206" s="5">
        <v>1</v>
      </c>
      <c r="I206" s="5">
        <v>0</v>
      </c>
      <c r="J206" s="5">
        <v>0</v>
      </c>
      <c r="M206" s="6">
        <v>173</v>
      </c>
      <c r="N206" s="5">
        <v>755806.1126080181</v>
      </c>
      <c r="O206" s="7">
        <v>24538.067391981953</v>
      </c>
    </row>
    <row r="207" spans="1:15">
      <c r="A207" s="5">
        <v>825060.52</v>
      </c>
      <c r="B207" s="5">
        <v>92090.14</v>
      </c>
      <c r="C207" s="5">
        <v>9476</v>
      </c>
      <c r="D207" s="5">
        <v>94.3</v>
      </c>
      <c r="E207" s="5">
        <v>0</v>
      </c>
      <c r="F207" s="5">
        <v>0</v>
      </c>
      <c r="G207" s="5">
        <v>1</v>
      </c>
      <c r="H207" s="5">
        <v>0</v>
      </c>
      <c r="I207" s="5">
        <v>0</v>
      </c>
      <c r="J207" s="5">
        <v>0</v>
      </c>
      <c r="M207" s="6">
        <v>174</v>
      </c>
      <c r="N207" s="5">
        <v>739178.85370144597</v>
      </c>
      <c r="O207" s="7">
        <v>-17814.743701445987</v>
      </c>
    </row>
    <row r="208" spans="1:15">
      <c r="A208" s="5">
        <v>795464.47</v>
      </c>
      <c r="B208" s="5">
        <v>54300.87</v>
      </c>
      <c r="C208" s="5">
        <v>7875</v>
      </c>
      <c r="D208" s="5">
        <v>94.1</v>
      </c>
      <c r="E208" s="5">
        <v>0</v>
      </c>
      <c r="F208" s="5">
        <v>0</v>
      </c>
      <c r="G208" s="5">
        <v>1</v>
      </c>
      <c r="H208" s="5">
        <v>0</v>
      </c>
      <c r="I208" s="5">
        <v>0</v>
      </c>
      <c r="J208" s="5">
        <v>0</v>
      </c>
      <c r="M208" s="6">
        <v>175</v>
      </c>
      <c r="N208" s="5">
        <v>764780.87466270768</v>
      </c>
      <c r="O208" s="7">
        <v>-6642.5846627076389</v>
      </c>
    </row>
    <row r="209" spans="1:15">
      <c r="A209" s="5">
        <v>671868.59</v>
      </c>
      <c r="B209" s="5">
        <v>37983.35</v>
      </c>
      <c r="C209" s="5">
        <v>9283</v>
      </c>
      <c r="D209" s="5">
        <v>83.2</v>
      </c>
      <c r="E209" s="5">
        <v>0</v>
      </c>
      <c r="F209" s="5">
        <v>0</v>
      </c>
      <c r="G209" s="5">
        <v>1</v>
      </c>
      <c r="H209" s="5">
        <v>0</v>
      </c>
      <c r="I209" s="5">
        <v>0</v>
      </c>
      <c r="J209" s="5">
        <v>0</v>
      </c>
      <c r="M209" s="6">
        <v>176</v>
      </c>
      <c r="N209" s="5">
        <v>807959.54747732426</v>
      </c>
      <c r="O209" s="7">
        <v>-3695.5474773242604</v>
      </c>
    </row>
    <row r="210" spans="1:15">
      <c r="A210" s="5">
        <v>675917.63</v>
      </c>
      <c r="B210" s="5">
        <v>56413.83</v>
      </c>
      <c r="C210" s="5">
        <v>8303</v>
      </c>
      <c r="D210" s="5">
        <v>93.6</v>
      </c>
      <c r="E210" s="5">
        <v>0</v>
      </c>
      <c r="F210" s="5">
        <v>0</v>
      </c>
      <c r="G210" s="5">
        <v>1</v>
      </c>
      <c r="H210" s="5">
        <v>0</v>
      </c>
      <c r="I210" s="5">
        <v>0</v>
      </c>
      <c r="J210" s="5">
        <v>0</v>
      </c>
      <c r="M210" s="6">
        <v>177</v>
      </c>
      <c r="N210" s="5">
        <v>886912.79908002086</v>
      </c>
      <c r="O210" s="7">
        <v>624.95091997913551</v>
      </c>
    </row>
    <row r="211" spans="1:15">
      <c r="A211" s="5">
        <v>810446.53</v>
      </c>
      <c r="B211" s="5">
        <v>63457.19</v>
      </c>
      <c r="C211" s="5">
        <v>10125</v>
      </c>
      <c r="D211" s="5">
        <v>87</v>
      </c>
      <c r="E211" s="5">
        <v>0</v>
      </c>
      <c r="F211" s="5">
        <v>0</v>
      </c>
      <c r="G211" s="5">
        <v>1</v>
      </c>
      <c r="H211" s="5">
        <v>0</v>
      </c>
      <c r="I211" s="5">
        <v>1</v>
      </c>
      <c r="J211" s="5">
        <v>0</v>
      </c>
      <c r="M211" s="6">
        <v>178</v>
      </c>
      <c r="N211" s="5">
        <v>733774.73256050062</v>
      </c>
      <c r="O211" s="7">
        <v>49807.267439499381</v>
      </c>
    </row>
    <row r="212" spans="1:15">
      <c r="A212" s="5">
        <v>691288.19</v>
      </c>
      <c r="B212" s="5">
        <v>62949.7</v>
      </c>
      <c r="C212" s="5">
        <v>9458</v>
      </c>
      <c r="D212" s="5">
        <v>84.9</v>
      </c>
      <c r="E212" s="5">
        <v>0</v>
      </c>
      <c r="F212" s="5">
        <v>0</v>
      </c>
      <c r="G212" s="5">
        <v>1</v>
      </c>
      <c r="H212" s="5">
        <v>0</v>
      </c>
      <c r="I212" s="5">
        <v>1</v>
      </c>
      <c r="J212" s="5">
        <v>0</v>
      </c>
      <c r="M212" s="6">
        <v>179</v>
      </c>
      <c r="N212" s="5">
        <v>766283.95645605726</v>
      </c>
      <c r="O212" s="7">
        <v>15671.563543942757</v>
      </c>
    </row>
    <row r="213" spans="1:15">
      <c r="A213" s="5">
        <v>946833.54</v>
      </c>
      <c r="B213" s="5">
        <v>107970.19</v>
      </c>
      <c r="C213" s="5">
        <v>12870</v>
      </c>
      <c r="D213" s="5">
        <v>91.7</v>
      </c>
      <c r="E213" s="5">
        <v>0</v>
      </c>
      <c r="F213" s="5">
        <v>0</v>
      </c>
      <c r="G213" s="5">
        <v>1</v>
      </c>
      <c r="H213" s="5">
        <v>0</v>
      </c>
      <c r="I213" s="5">
        <v>1</v>
      </c>
      <c r="J213" s="5">
        <v>0</v>
      </c>
      <c r="M213" s="6">
        <v>180</v>
      </c>
      <c r="N213" s="5">
        <v>854211.39805924962</v>
      </c>
      <c r="O213" s="7">
        <v>43819.641940750415</v>
      </c>
    </row>
    <row r="214" spans="1:15">
      <c r="A214" s="5">
        <v>761963.23</v>
      </c>
      <c r="B214" s="5">
        <v>49405.75</v>
      </c>
      <c r="C214" s="5">
        <v>9752</v>
      </c>
      <c r="D214" s="5">
        <v>87</v>
      </c>
      <c r="E214" s="5">
        <v>0</v>
      </c>
      <c r="F214" s="5">
        <v>0</v>
      </c>
      <c r="G214" s="5">
        <v>1</v>
      </c>
      <c r="H214" s="5">
        <v>0</v>
      </c>
      <c r="I214" s="5">
        <v>1</v>
      </c>
      <c r="J214" s="5">
        <v>0</v>
      </c>
      <c r="M214" s="6">
        <v>181</v>
      </c>
      <c r="N214" s="5">
        <v>845504.41417824524</v>
      </c>
      <c r="O214" s="7">
        <v>9836.8658217547927</v>
      </c>
    </row>
    <row r="215" spans="1:15">
      <c r="A215" s="5">
        <v>812152.6</v>
      </c>
      <c r="B215" s="5">
        <v>50887.46</v>
      </c>
      <c r="C215" s="5">
        <v>9505</v>
      </c>
      <c r="D215" s="5">
        <v>89.7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1</v>
      </c>
      <c r="M215" s="6">
        <v>182</v>
      </c>
      <c r="N215" s="5">
        <v>745737.14794012881</v>
      </c>
      <c r="O215" s="7">
        <v>5656.7320598711958</v>
      </c>
    </row>
    <row r="216" spans="1:15">
      <c r="A216" s="5">
        <v>804975.5</v>
      </c>
      <c r="B216" s="5">
        <v>41819.449999999997</v>
      </c>
      <c r="C216" s="5">
        <v>9412</v>
      </c>
      <c r="D216" s="5">
        <v>91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1</v>
      </c>
      <c r="M216" s="6">
        <v>183</v>
      </c>
      <c r="N216" s="5">
        <v>756239.2877237763</v>
      </c>
      <c r="O216" s="7">
        <v>4837.7922762236558</v>
      </c>
    </row>
    <row r="217" spans="1:15">
      <c r="A217" s="5">
        <v>752321.72</v>
      </c>
      <c r="B217" s="5">
        <v>35296.54</v>
      </c>
      <c r="C217" s="5">
        <v>9644</v>
      </c>
      <c r="D217" s="5">
        <v>88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1</v>
      </c>
      <c r="M217" s="6">
        <v>184</v>
      </c>
      <c r="N217" s="5">
        <v>821065.25800083042</v>
      </c>
      <c r="O217" s="7">
        <v>-1404.6680008304538</v>
      </c>
    </row>
    <row r="218" spans="1:15">
      <c r="A218" s="5">
        <v>836908.24</v>
      </c>
      <c r="B218" s="5">
        <v>47391.09</v>
      </c>
      <c r="C218" s="5">
        <v>11224</v>
      </c>
      <c r="D218" s="5">
        <v>88.4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1</v>
      </c>
      <c r="M218" s="6">
        <v>185</v>
      </c>
      <c r="N218" s="5">
        <v>696669.26520984841</v>
      </c>
      <c r="O218" s="7">
        <v>-14813.705209848355</v>
      </c>
    </row>
    <row r="219" spans="1:15">
      <c r="A219" s="5">
        <v>674289.1</v>
      </c>
      <c r="B219" s="5">
        <v>69180.539999999994</v>
      </c>
      <c r="C219" s="5">
        <v>5394</v>
      </c>
      <c r="D219" s="5">
        <v>82.9</v>
      </c>
      <c r="E219" s="5">
        <v>1</v>
      </c>
      <c r="F219" s="5">
        <v>0</v>
      </c>
      <c r="G219" s="5">
        <v>0</v>
      </c>
      <c r="H219" s="5">
        <v>1</v>
      </c>
      <c r="I219" s="5">
        <v>0</v>
      </c>
      <c r="J219" s="5">
        <v>0</v>
      </c>
      <c r="M219" s="6">
        <v>186</v>
      </c>
      <c r="N219" s="5">
        <v>656247.92939154455</v>
      </c>
      <c r="O219" s="7">
        <v>22063.240608455497</v>
      </c>
    </row>
    <row r="220" spans="1:15">
      <c r="A220" s="5">
        <v>622892.42000000004</v>
      </c>
      <c r="B220" s="5">
        <v>33987.33</v>
      </c>
      <c r="C220" s="5">
        <v>5014</v>
      </c>
      <c r="D220" s="5">
        <v>94.3</v>
      </c>
      <c r="E220" s="5">
        <v>1</v>
      </c>
      <c r="F220" s="5">
        <v>0</v>
      </c>
      <c r="G220" s="5">
        <v>0</v>
      </c>
      <c r="H220" s="5">
        <v>1</v>
      </c>
      <c r="I220" s="5">
        <v>0</v>
      </c>
      <c r="J220" s="5">
        <v>0</v>
      </c>
      <c r="M220" s="6">
        <v>187</v>
      </c>
      <c r="N220" s="5">
        <v>698577.94271873636</v>
      </c>
      <c r="O220" s="7">
        <v>67329.007281263592</v>
      </c>
    </row>
    <row r="221" spans="1:15">
      <c r="A221" s="5">
        <v>673348.56</v>
      </c>
      <c r="B221" s="5">
        <v>58785.33</v>
      </c>
      <c r="C221" s="5">
        <v>4467</v>
      </c>
      <c r="D221" s="5">
        <v>90.7</v>
      </c>
      <c r="E221" s="5">
        <v>1</v>
      </c>
      <c r="F221" s="5">
        <v>0</v>
      </c>
      <c r="G221" s="5">
        <v>0</v>
      </c>
      <c r="H221" s="5">
        <v>1</v>
      </c>
      <c r="I221" s="5">
        <v>0</v>
      </c>
      <c r="J221" s="5">
        <v>0</v>
      </c>
      <c r="M221" s="6">
        <v>188</v>
      </c>
      <c r="N221" s="5">
        <v>704572.31103626301</v>
      </c>
      <c r="O221" s="7">
        <v>7974.0689637369942</v>
      </c>
    </row>
    <row r="222" spans="1:15">
      <c r="A222" s="5">
        <v>606278.30000000005</v>
      </c>
      <c r="B222" s="5">
        <v>16451.849999999999</v>
      </c>
      <c r="C222" s="5">
        <v>4678</v>
      </c>
      <c r="D222" s="5">
        <v>95.9</v>
      </c>
      <c r="E222" s="5">
        <v>1</v>
      </c>
      <c r="F222" s="5">
        <v>0</v>
      </c>
      <c r="G222" s="5">
        <v>0</v>
      </c>
      <c r="H222" s="5">
        <v>1</v>
      </c>
      <c r="I222" s="5">
        <v>0</v>
      </c>
      <c r="J222" s="5">
        <v>0</v>
      </c>
      <c r="M222" s="6">
        <v>189</v>
      </c>
      <c r="N222" s="5">
        <v>579046.68579391483</v>
      </c>
      <c r="O222" s="7">
        <v>46947.144206085126</v>
      </c>
    </row>
    <row r="223" spans="1:15">
      <c r="A223" s="5">
        <v>712219.81</v>
      </c>
      <c r="B223" s="5">
        <v>53367.73</v>
      </c>
      <c r="C223" s="5">
        <v>7291</v>
      </c>
      <c r="D223" s="5">
        <v>90.6</v>
      </c>
      <c r="E223" s="5">
        <v>0</v>
      </c>
      <c r="F223" s="5">
        <v>0</v>
      </c>
      <c r="G223" s="5">
        <v>1</v>
      </c>
      <c r="H223" s="5">
        <v>0</v>
      </c>
      <c r="I223" s="5">
        <v>1</v>
      </c>
      <c r="J223" s="5">
        <v>0</v>
      </c>
      <c r="M223" s="6">
        <v>190</v>
      </c>
      <c r="N223" s="5">
        <v>534288.91202298866</v>
      </c>
      <c r="O223" s="7">
        <v>16674.01797701139</v>
      </c>
    </row>
    <row r="224" spans="1:15">
      <c r="A224" s="5">
        <v>672670.54</v>
      </c>
      <c r="B224" s="5">
        <v>27194.639999999999</v>
      </c>
      <c r="C224" s="5">
        <v>7404</v>
      </c>
      <c r="D224" s="5">
        <v>90.2</v>
      </c>
      <c r="E224" s="5">
        <v>0</v>
      </c>
      <c r="F224" s="5">
        <v>0</v>
      </c>
      <c r="G224" s="5">
        <v>1</v>
      </c>
      <c r="H224" s="5">
        <v>0</v>
      </c>
      <c r="I224" s="5">
        <v>1</v>
      </c>
      <c r="J224" s="5">
        <v>0</v>
      </c>
      <c r="M224" s="6">
        <v>191</v>
      </c>
      <c r="N224" s="5">
        <v>456129.3626159149</v>
      </c>
      <c r="O224" s="7">
        <v>-12853.772615914873</v>
      </c>
    </row>
    <row r="225" spans="1:15">
      <c r="A225" s="5">
        <v>732667.92</v>
      </c>
      <c r="B225" s="5">
        <v>66962.740000000005</v>
      </c>
      <c r="C225" s="5">
        <v>7880</v>
      </c>
      <c r="D225" s="5">
        <v>90.4</v>
      </c>
      <c r="E225" s="5">
        <v>0</v>
      </c>
      <c r="F225" s="5">
        <v>0</v>
      </c>
      <c r="G225" s="5">
        <v>1</v>
      </c>
      <c r="H225" s="5">
        <v>0</v>
      </c>
      <c r="I225" s="5">
        <v>1</v>
      </c>
      <c r="J225" s="5">
        <v>0</v>
      </c>
      <c r="M225" s="6">
        <v>192</v>
      </c>
      <c r="N225" s="5">
        <v>597090.33222513238</v>
      </c>
      <c r="O225" s="7">
        <v>-43078.262225132436</v>
      </c>
    </row>
    <row r="226" spans="1:15">
      <c r="A226" s="5">
        <v>723531.4</v>
      </c>
      <c r="B226" s="5">
        <v>73540.990000000005</v>
      </c>
      <c r="C226" s="5">
        <v>8773</v>
      </c>
      <c r="D226" s="5">
        <v>84.4</v>
      </c>
      <c r="E226" s="5">
        <v>0</v>
      </c>
      <c r="F226" s="5">
        <v>0</v>
      </c>
      <c r="G226" s="5">
        <v>1</v>
      </c>
      <c r="H226" s="5">
        <v>0</v>
      </c>
      <c r="I226" s="5">
        <v>1</v>
      </c>
      <c r="J226" s="5">
        <v>0</v>
      </c>
      <c r="M226" s="6">
        <v>193</v>
      </c>
      <c r="N226" s="5">
        <v>688354.07046892808</v>
      </c>
      <c r="O226" s="7">
        <v>-44925.220468928106</v>
      </c>
    </row>
    <row r="227" spans="1:15">
      <c r="A227" s="5">
        <v>641564.6</v>
      </c>
      <c r="B227" s="5">
        <v>68212.289999999994</v>
      </c>
      <c r="C227" s="5">
        <v>4713</v>
      </c>
      <c r="D227" s="5">
        <v>82.6</v>
      </c>
      <c r="E227" s="5">
        <v>0</v>
      </c>
      <c r="F227" s="5">
        <v>0</v>
      </c>
      <c r="G227" s="5">
        <v>1</v>
      </c>
      <c r="H227" s="5">
        <v>0</v>
      </c>
      <c r="I227" s="5">
        <v>0</v>
      </c>
      <c r="J227" s="5">
        <v>0</v>
      </c>
      <c r="M227" s="6">
        <v>194</v>
      </c>
      <c r="N227" s="5">
        <v>618917.81659756938</v>
      </c>
      <c r="O227" s="7">
        <v>-6993.546597569366</v>
      </c>
    </row>
    <row r="228" spans="1:15">
      <c r="A228" s="5">
        <v>536545.49</v>
      </c>
      <c r="B228" s="5">
        <v>57225.98</v>
      </c>
      <c r="C228" s="5">
        <v>2842</v>
      </c>
      <c r="D228" s="5">
        <v>79.5</v>
      </c>
      <c r="E228" s="5">
        <v>0</v>
      </c>
      <c r="F228" s="5">
        <v>0</v>
      </c>
      <c r="G228" s="5">
        <v>1</v>
      </c>
      <c r="H228" s="5">
        <v>0</v>
      </c>
      <c r="I228" s="5">
        <v>0</v>
      </c>
      <c r="J228" s="5">
        <v>0</v>
      </c>
      <c r="M228" s="6">
        <v>195</v>
      </c>
      <c r="N228" s="5">
        <v>554036.19062768295</v>
      </c>
      <c r="O228" s="7">
        <v>5385.8293723170646</v>
      </c>
    </row>
    <row r="229" spans="1:15">
      <c r="A229" s="5">
        <v>527681.56000000006</v>
      </c>
      <c r="B229" s="5">
        <v>42932.02</v>
      </c>
      <c r="C229" s="5">
        <v>3872</v>
      </c>
      <c r="D229" s="5">
        <v>83.2</v>
      </c>
      <c r="E229" s="5">
        <v>0</v>
      </c>
      <c r="F229" s="5">
        <v>0</v>
      </c>
      <c r="G229" s="5">
        <v>1</v>
      </c>
      <c r="H229" s="5">
        <v>0</v>
      </c>
      <c r="I229" s="5">
        <v>0</v>
      </c>
      <c r="J229" s="5">
        <v>0</v>
      </c>
      <c r="M229" s="6">
        <v>196</v>
      </c>
      <c r="N229" s="5">
        <v>530249.72409392148</v>
      </c>
      <c r="O229" s="7">
        <v>-80784.664093921485</v>
      </c>
    </row>
    <row r="230" spans="1:15">
      <c r="A230" s="5">
        <v>529598.93999999994</v>
      </c>
      <c r="B230" s="5">
        <v>39341.449999999997</v>
      </c>
      <c r="C230" s="5">
        <v>1375</v>
      </c>
      <c r="D230" s="5">
        <v>95</v>
      </c>
      <c r="E230" s="5">
        <v>0</v>
      </c>
      <c r="F230" s="5">
        <v>0</v>
      </c>
      <c r="G230" s="5">
        <v>1</v>
      </c>
      <c r="H230" s="5">
        <v>0</v>
      </c>
      <c r="I230" s="5">
        <v>0</v>
      </c>
      <c r="J230" s="5">
        <v>0</v>
      </c>
      <c r="M230" s="6">
        <v>197</v>
      </c>
      <c r="N230" s="5">
        <v>630124.58568188362</v>
      </c>
      <c r="O230" s="7">
        <v>61322.844318116433</v>
      </c>
    </row>
    <row r="231" spans="1:15">
      <c r="A231" s="5">
        <v>570963.31000000006</v>
      </c>
      <c r="B231" s="5">
        <v>37324.230000000003</v>
      </c>
      <c r="C231" s="5">
        <v>5957</v>
      </c>
      <c r="D231" s="5">
        <v>85.9</v>
      </c>
      <c r="E231" s="5">
        <v>0</v>
      </c>
      <c r="F231" s="5">
        <v>0</v>
      </c>
      <c r="G231" s="5">
        <v>1</v>
      </c>
      <c r="H231" s="5">
        <v>0</v>
      </c>
      <c r="I231" s="5">
        <v>1</v>
      </c>
      <c r="J231" s="5">
        <v>0</v>
      </c>
      <c r="M231" s="6">
        <v>198</v>
      </c>
      <c r="N231" s="5">
        <v>591423.979746814</v>
      </c>
      <c r="O231" s="7">
        <v>-17357.369746814016</v>
      </c>
    </row>
    <row r="232" spans="1:15">
      <c r="A232" s="5">
        <v>870937.4</v>
      </c>
      <c r="B232" s="5">
        <v>113736</v>
      </c>
      <c r="C232" s="5">
        <v>8961</v>
      </c>
      <c r="D232" s="5">
        <v>86.2</v>
      </c>
      <c r="E232" s="5">
        <v>0</v>
      </c>
      <c r="F232" s="5">
        <v>0</v>
      </c>
      <c r="G232" s="5">
        <v>1</v>
      </c>
      <c r="H232" s="5">
        <v>0</v>
      </c>
      <c r="I232" s="5">
        <v>1</v>
      </c>
      <c r="J232" s="5">
        <v>0</v>
      </c>
      <c r="M232" s="6">
        <v>199</v>
      </c>
      <c r="N232" s="5">
        <v>600241.82649934618</v>
      </c>
      <c r="O232" s="7">
        <v>-21291.986499346211</v>
      </c>
    </row>
    <row r="233" spans="1:15">
      <c r="A233" s="5">
        <v>596969.27</v>
      </c>
      <c r="B233" s="5">
        <v>33173.949999999997</v>
      </c>
      <c r="C233" s="5">
        <v>6545</v>
      </c>
      <c r="D233" s="5">
        <v>84.4</v>
      </c>
      <c r="E233" s="5">
        <v>0</v>
      </c>
      <c r="F233" s="5">
        <v>0</v>
      </c>
      <c r="G233" s="5">
        <v>1</v>
      </c>
      <c r="H233" s="5">
        <v>0</v>
      </c>
      <c r="I233" s="5">
        <v>1</v>
      </c>
      <c r="J233" s="5">
        <v>0</v>
      </c>
      <c r="M233" s="6">
        <v>200</v>
      </c>
      <c r="N233" s="5">
        <v>639364.47248285951</v>
      </c>
      <c r="O233" s="7">
        <v>96422.167517140508</v>
      </c>
    </row>
    <row r="234" spans="1:15">
      <c r="A234" s="5">
        <v>647512.85</v>
      </c>
      <c r="B234" s="5">
        <v>25818.080000000002</v>
      </c>
      <c r="C234" s="5">
        <v>5457</v>
      </c>
      <c r="D234" s="5">
        <v>95.4</v>
      </c>
      <c r="E234" s="5">
        <v>0</v>
      </c>
      <c r="F234" s="5">
        <v>0</v>
      </c>
      <c r="G234" s="5">
        <v>1</v>
      </c>
      <c r="H234" s="5">
        <v>0</v>
      </c>
      <c r="I234" s="5">
        <v>1</v>
      </c>
      <c r="J234" s="5">
        <v>0</v>
      </c>
      <c r="M234" s="6">
        <v>201</v>
      </c>
      <c r="N234" s="5">
        <v>619886.2859156956</v>
      </c>
      <c r="O234" s="7">
        <v>-20981.385915695573</v>
      </c>
    </row>
    <row r="235" spans="1:15">
      <c r="A235" s="5">
        <v>658072.14</v>
      </c>
      <c r="B235" s="5">
        <v>47241.919999999998</v>
      </c>
      <c r="C235" s="5">
        <v>4264</v>
      </c>
      <c r="D235" s="5">
        <v>95.3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1</v>
      </c>
      <c r="M235" s="6">
        <v>202</v>
      </c>
      <c r="N235" s="5">
        <v>700002.29661227949</v>
      </c>
      <c r="O235" s="7">
        <v>87713.21338772052</v>
      </c>
    </row>
    <row r="236" spans="1:15">
      <c r="A236" s="5">
        <v>723305.11</v>
      </c>
      <c r="B236" s="5">
        <v>61650.79</v>
      </c>
      <c r="C236" s="5">
        <v>5321</v>
      </c>
      <c r="D236" s="5">
        <v>89.2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1</v>
      </c>
      <c r="M236" s="6">
        <v>203</v>
      </c>
      <c r="N236" s="5">
        <v>656998.34024448914</v>
      </c>
      <c r="O236" s="7">
        <v>-49913.420244489098</v>
      </c>
    </row>
    <row r="237" spans="1:15">
      <c r="A237" s="5">
        <v>640666.53</v>
      </c>
      <c r="B237" s="5">
        <v>62582.71</v>
      </c>
      <c r="C237" s="5">
        <v>5479</v>
      </c>
      <c r="D237" s="5">
        <v>81.2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1</v>
      </c>
      <c r="M237" s="6">
        <v>204</v>
      </c>
      <c r="N237" s="5">
        <v>684906.67582908378</v>
      </c>
      <c r="O237" s="7">
        <v>-34111.185829083784</v>
      </c>
    </row>
    <row r="238" spans="1:15">
      <c r="A238" s="5">
        <v>670629.48</v>
      </c>
      <c r="B238" s="5">
        <v>47944.14</v>
      </c>
      <c r="C238" s="5">
        <v>6169</v>
      </c>
      <c r="D238" s="5">
        <v>92.2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1</v>
      </c>
      <c r="M238" s="6">
        <v>205</v>
      </c>
      <c r="N238" s="5">
        <v>841179.02284357953</v>
      </c>
      <c r="O238" s="7">
        <v>-16118.50284357951</v>
      </c>
    </row>
    <row r="239" spans="1:15">
      <c r="A239" s="5">
        <v>721079.35</v>
      </c>
      <c r="B239" s="5">
        <v>46495.4</v>
      </c>
      <c r="C239" s="5">
        <v>9908</v>
      </c>
      <c r="D239" s="5">
        <v>89.4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M239" s="6">
        <v>206</v>
      </c>
      <c r="N239" s="5">
        <v>741470.02857395937</v>
      </c>
      <c r="O239" s="7">
        <v>53994.441426040605</v>
      </c>
    </row>
    <row r="240" spans="1:15">
      <c r="A240" s="5">
        <v>810355.02</v>
      </c>
      <c r="B240" s="5">
        <v>72961.95</v>
      </c>
      <c r="C240" s="5">
        <v>9996</v>
      </c>
      <c r="D240" s="5">
        <v>89.1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M240" s="6">
        <v>207</v>
      </c>
      <c r="N240" s="5">
        <v>737475.74044978316</v>
      </c>
      <c r="O240" s="7">
        <v>-65607.150449783192</v>
      </c>
    </row>
    <row r="241" spans="1:15">
      <c r="A241" s="5">
        <v>761919.25</v>
      </c>
      <c r="B241" s="5">
        <v>59060.05</v>
      </c>
      <c r="C241" s="5">
        <v>9702</v>
      </c>
      <c r="D241" s="5">
        <v>80.900000000000006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M241" s="6">
        <v>208</v>
      </c>
      <c r="N241" s="5">
        <v>756992.34601392271</v>
      </c>
      <c r="O241" s="7">
        <v>-81074.716013922705</v>
      </c>
    </row>
    <row r="242" spans="1:15">
      <c r="A242" s="5">
        <v>737070.18</v>
      </c>
      <c r="B242" s="5">
        <v>26248.1</v>
      </c>
      <c r="C242" s="5">
        <v>9314</v>
      </c>
      <c r="D242" s="5">
        <v>83.7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M242" s="6">
        <v>209</v>
      </c>
      <c r="N242" s="5">
        <v>795215.18478798307</v>
      </c>
      <c r="O242" s="7">
        <v>15231.345212016953</v>
      </c>
    </row>
    <row r="243" spans="1:15">
      <c r="A243" s="5">
        <v>776992.93</v>
      </c>
      <c r="B243" s="5">
        <v>69900.12</v>
      </c>
      <c r="C243" s="5">
        <v>8055</v>
      </c>
      <c r="D243" s="5">
        <v>85.6</v>
      </c>
      <c r="E243" s="5">
        <v>0</v>
      </c>
      <c r="F243" s="5">
        <v>1</v>
      </c>
      <c r="G243" s="5">
        <v>0</v>
      </c>
      <c r="H243" s="5">
        <v>1</v>
      </c>
      <c r="I243" s="5">
        <v>0</v>
      </c>
      <c r="J243" s="5">
        <v>0</v>
      </c>
      <c r="M243" s="6">
        <v>210</v>
      </c>
      <c r="N243" s="5">
        <v>765808.94142200449</v>
      </c>
      <c r="O243" s="7">
        <v>-74520.751422004541</v>
      </c>
    </row>
    <row r="244" spans="1:15">
      <c r="A244" s="5">
        <v>676337.41</v>
      </c>
      <c r="B244" s="5">
        <v>51781.599999999999</v>
      </c>
      <c r="C244" s="5">
        <v>5648</v>
      </c>
      <c r="D244" s="5">
        <v>85.5</v>
      </c>
      <c r="E244" s="5">
        <v>0</v>
      </c>
      <c r="F244" s="5">
        <v>1</v>
      </c>
      <c r="G244" s="5">
        <v>0</v>
      </c>
      <c r="H244" s="5">
        <v>1</v>
      </c>
      <c r="I244" s="5">
        <v>0</v>
      </c>
      <c r="J244" s="5">
        <v>0</v>
      </c>
      <c r="M244" s="6">
        <v>211</v>
      </c>
      <c r="N244" s="5">
        <v>954975.72100146639</v>
      </c>
      <c r="O244" s="7">
        <v>-8142.1810014663497</v>
      </c>
    </row>
    <row r="245" spans="1:15">
      <c r="A245" s="5">
        <v>828219.67</v>
      </c>
      <c r="B245" s="5">
        <v>70799.64</v>
      </c>
      <c r="C245" s="5">
        <v>10076</v>
      </c>
      <c r="D245" s="5">
        <v>84.8</v>
      </c>
      <c r="E245" s="5">
        <v>0</v>
      </c>
      <c r="F245" s="5">
        <v>1</v>
      </c>
      <c r="G245" s="5">
        <v>0</v>
      </c>
      <c r="H245" s="5">
        <v>1</v>
      </c>
      <c r="I245" s="5">
        <v>0</v>
      </c>
      <c r="J245" s="5">
        <v>0</v>
      </c>
      <c r="M245" s="6">
        <v>212</v>
      </c>
      <c r="N245" s="5">
        <v>765887.33405603783</v>
      </c>
      <c r="O245" s="7">
        <v>-3924.104056037846</v>
      </c>
    </row>
    <row r="246" spans="1:15">
      <c r="A246" s="5">
        <v>763159.92</v>
      </c>
      <c r="B246" s="5">
        <v>53546.34</v>
      </c>
      <c r="C246" s="5">
        <v>8004</v>
      </c>
      <c r="D246" s="5">
        <v>95.2</v>
      </c>
      <c r="E246" s="5">
        <v>0</v>
      </c>
      <c r="F246" s="5">
        <v>1</v>
      </c>
      <c r="G246" s="5">
        <v>0</v>
      </c>
      <c r="H246" s="5">
        <v>1</v>
      </c>
      <c r="I246" s="5">
        <v>0</v>
      </c>
      <c r="J246" s="5">
        <v>0</v>
      </c>
      <c r="M246" s="6">
        <v>213</v>
      </c>
      <c r="N246" s="5">
        <v>769638.5263175643</v>
      </c>
      <c r="O246" s="7">
        <v>42514.073682435672</v>
      </c>
    </row>
    <row r="247" spans="1:15">
      <c r="A247" s="5">
        <v>802001.68</v>
      </c>
      <c r="B247" s="5">
        <v>76942.2</v>
      </c>
      <c r="C247" s="5">
        <v>8934</v>
      </c>
      <c r="D247" s="5">
        <v>91</v>
      </c>
      <c r="E247" s="5">
        <v>0</v>
      </c>
      <c r="F247" s="5">
        <v>0</v>
      </c>
      <c r="G247" s="5">
        <v>1</v>
      </c>
      <c r="H247" s="5">
        <v>0</v>
      </c>
      <c r="I247" s="5">
        <v>1</v>
      </c>
      <c r="J247" s="5">
        <v>0</v>
      </c>
      <c r="M247" s="6">
        <v>214</v>
      </c>
      <c r="N247" s="5">
        <v>759563.1737330578</v>
      </c>
      <c r="O247" s="7">
        <v>45412.326266942197</v>
      </c>
    </row>
    <row r="248" spans="1:15">
      <c r="A248" s="5">
        <v>750471.34</v>
      </c>
      <c r="B248" s="5">
        <v>48060.78</v>
      </c>
      <c r="C248" s="5">
        <v>8733</v>
      </c>
      <c r="D248" s="5">
        <v>89.9</v>
      </c>
      <c r="E248" s="5">
        <v>0</v>
      </c>
      <c r="F248" s="5">
        <v>0</v>
      </c>
      <c r="G248" s="5">
        <v>1</v>
      </c>
      <c r="H248" s="5">
        <v>0</v>
      </c>
      <c r="I248" s="5">
        <v>1</v>
      </c>
      <c r="J248" s="5">
        <v>0</v>
      </c>
      <c r="M248" s="6">
        <v>215</v>
      </c>
      <c r="N248" s="5">
        <v>750783.28640742879</v>
      </c>
      <c r="O248" s="7">
        <v>1538.4335925711785</v>
      </c>
    </row>
    <row r="249" spans="1:15">
      <c r="A249" s="5">
        <v>679230.86</v>
      </c>
      <c r="B249" s="5">
        <v>57390.04</v>
      </c>
      <c r="C249" s="5">
        <v>7374</v>
      </c>
      <c r="D249" s="5">
        <v>91.8</v>
      </c>
      <c r="E249" s="5">
        <v>0</v>
      </c>
      <c r="F249" s="5">
        <v>0</v>
      </c>
      <c r="G249" s="5">
        <v>1</v>
      </c>
      <c r="H249" s="5">
        <v>0</v>
      </c>
      <c r="I249" s="5">
        <v>1</v>
      </c>
      <c r="J249" s="5">
        <v>0</v>
      </c>
      <c r="M249" s="6">
        <v>216</v>
      </c>
      <c r="N249" s="5">
        <v>819838.9538167303</v>
      </c>
      <c r="O249" s="7">
        <v>17069.286183269694</v>
      </c>
    </row>
    <row r="250" spans="1:15">
      <c r="A250" s="5">
        <v>679888.74</v>
      </c>
      <c r="B250" s="5">
        <v>21536.18</v>
      </c>
      <c r="C250" s="5">
        <v>8119</v>
      </c>
      <c r="D250" s="5">
        <v>90.4</v>
      </c>
      <c r="E250" s="5">
        <v>0</v>
      </c>
      <c r="F250" s="5">
        <v>0</v>
      </c>
      <c r="G250" s="5">
        <v>1</v>
      </c>
      <c r="H250" s="5">
        <v>0</v>
      </c>
      <c r="I250" s="5">
        <v>1</v>
      </c>
      <c r="J250" s="5">
        <v>0</v>
      </c>
      <c r="M250" s="6">
        <v>217</v>
      </c>
      <c r="N250" s="5">
        <v>661095.3074956052</v>
      </c>
      <c r="O250" s="7">
        <v>13193.792504394776</v>
      </c>
    </row>
    <row r="251" spans="1:15">
      <c r="A251" s="5">
        <v>606783.67000000004</v>
      </c>
      <c r="B251" s="5">
        <v>40923.67</v>
      </c>
      <c r="C251" s="5">
        <v>3875</v>
      </c>
      <c r="D251" s="5">
        <v>96.1</v>
      </c>
      <c r="E251" s="5">
        <v>1</v>
      </c>
      <c r="F251" s="5">
        <v>0</v>
      </c>
      <c r="G251" s="5">
        <v>0</v>
      </c>
      <c r="H251" s="5">
        <v>0</v>
      </c>
      <c r="I251" s="5">
        <v>1</v>
      </c>
      <c r="J251" s="5">
        <v>0</v>
      </c>
      <c r="M251" s="6">
        <v>218</v>
      </c>
      <c r="N251" s="5">
        <v>640164.93287249072</v>
      </c>
      <c r="O251" s="7">
        <v>-17272.512872490683</v>
      </c>
    </row>
    <row r="252" spans="1:15">
      <c r="A252" s="5">
        <v>642751.42000000004</v>
      </c>
      <c r="B252" s="5">
        <v>72932.55</v>
      </c>
      <c r="C252" s="5">
        <v>5765</v>
      </c>
      <c r="D252" s="5">
        <v>81.8</v>
      </c>
      <c r="E252" s="5">
        <v>1</v>
      </c>
      <c r="F252" s="5">
        <v>0</v>
      </c>
      <c r="G252" s="5">
        <v>0</v>
      </c>
      <c r="H252" s="5">
        <v>0</v>
      </c>
      <c r="I252" s="5">
        <v>1</v>
      </c>
      <c r="J252" s="5">
        <v>0</v>
      </c>
      <c r="M252" s="6">
        <v>219</v>
      </c>
      <c r="N252" s="5">
        <v>640451.94144104328</v>
      </c>
      <c r="O252" s="7">
        <v>32896.618558956776</v>
      </c>
    </row>
    <row r="253" spans="1:15">
      <c r="A253" s="5">
        <v>647953.78</v>
      </c>
      <c r="B253" s="5">
        <v>38361.93</v>
      </c>
      <c r="C253" s="5">
        <v>6322</v>
      </c>
      <c r="D253" s="5">
        <v>88.4</v>
      </c>
      <c r="E253" s="5">
        <v>1</v>
      </c>
      <c r="F253" s="5">
        <v>0</v>
      </c>
      <c r="G253" s="5">
        <v>0</v>
      </c>
      <c r="H253" s="5">
        <v>0</v>
      </c>
      <c r="I253" s="5">
        <v>1</v>
      </c>
      <c r="J253" s="5">
        <v>0</v>
      </c>
      <c r="M253" s="6">
        <v>220</v>
      </c>
      <c r="N253" s="5">
        <v>612687.64160289639</v>
      </c>
      <c r="O253" s="7">
        <v>-6409.3416028963402</v>
      </c>
    </row>
    <row r="254" spans="1:15">
      <c r="A254" s="5">
        <v>729440.45</v>
      </c>
      <c r="B254" s="5">
        <v>97480.94</v>
      </c>
      <c r="C254" s="5">
        <v>6840</v>
      </c>
      <c r="D254" s="5">
        <v>79.2</v>
      </c>
      <c r="E254" s="5">
        <v>1</v>
      </c>
      <c r="F254" s="5">
        <v>0</v>
      </c>
      <c r="G254" s="5">
        <v>0</v>
      </c>
      <c r="H254" s="5">
        <v>0</v>
      </c>
      <c r="I254" s="5">
        <v>1</v>
      </c>
      <c r="J254" s="5">
        <v>0</v>
      </c>
      <c r="M254" s="6">
        <v>221</v>
      </c>
      <c r="N254" s="5">
        <v>697927.15918933565</v>
      </c>
      <c r="O254" s="7">
        <v>14292.650810664403</v>
      </c>
    </row>
    <row r="255" spans="1:15">
      <c r="A255" s="5">
        <v>764949</v>
      </c>
      <c r="B255" s="5">
        <v>81801.8</v>
      </c>
      <c r="C255" s="5">
        <v>6782</v>
      </c>
      <c r="D255" s="5">
        <v>99</v>
      </c>
      <c r="E255" s="5">
        <v>0</v>
      </c>
      <c r="F255" s="5">
        <v>1</v>
      </c>
      <c r="G255" s="5">
        <v>0</v>
      </c>
      <c r="H255" s="5">
        <v>1</v>
      </c>
      <c r="I255" s="5">
        <v>0</v>
      </c>
      <c r="J255" s="5">
        <v>0</v>
      </c>
      <c r="M255" s="6">
        <v>222</v>
      </c>
      <c r="N255" s="5">
        <v>669465.81008023454</v>
      </c>
      <c r="O255" s="7">
        <v>3204.7299197654938</v>
      </c>
    </row>
    <row r="256" spans="1:15">
      <c r="A256" s="5">
        <v>799046.94</v>
      </c>
      <c r="B256" s="5">
        <v>63582.11</v>
      </c>
      <c r="C256" s="5">
        <v>6856</v>
      </c>
      <c r="D256" s="5">
        <v>89.5</v>
      </c>
      <c r="E256" s="5">
        <v>0</v>
      </c>
      <c r="F256" s="5">
        <v>1</v>
      </c>
      <c r="G256" s="5">
        <v>0</v>
      </c>
      <c r="H256" s="5">
        <v>1</v>
      </c>
      <c r="I256" s="5">
        <v>0</v>
      </c>
      <c r="J256" s="5">
        <v>0</v>
      </c>
      <c r="M256" s="6">
        <v>223</v>
      </c>
      <c r="N256" s="5">
        <v>733434.07316549227</v>
      </c>
      <c r="O256" s="7">
        <v>-766.15316549222916</v>
      </c>
    </row>
    <row r="257" spans="1:15">
      <c r="A257" s="5">
        <v>720079.54</v>
      </c>
      <c r="B257" s="5">
        <v>75412.740000000005</v>
      </c>
      <c r="C257" s="5">
        <v>5641</v>
      </c>
      <c r="D257" s="5">
        <v>87.9</v>
      </c>
      <c r="E257" s="5">
        <v>0</v>
      </c>
      <c r="F257" s="5">
        <v>1</v>
      </c>
      <c r="G257" s="5">
        <v>0</v>
      </c>
      <c r="H257" s="5">
        <v>1</v>
      </c>
      <c r="I257" s="5">
        <v>0</v>
      </c>
      <c r="J257" s="5">
        <v>0</v>
      </c>
      <c r="M257" s="6">
        <v>224</v>
      </c>
      <c r="N257" s="5">
        <v>753720.57796249015</v>
      </c>
      <c r="O257" s="7">
        <v>-30189.177962490125</v>
      </c>
    </row>
    <row r="258" spans="1:15">
      <c r="A258" s="5">
        <v>612390.14</v>
      </c>
      <c r="B258" s="5">
        <v>36290.080000000002</v>
      </c>
      <c r="C258" s="5">
        <v>5787</v>
      </c>
      <c r="D258" s="5">
        <v>88.3</v>
      </c>
      <c r="E258" s="5">
        <v>0</v>
      </c>
      <c r="F258" s="5">
        <v>1</v>
      </c>
      <c r="G258" s="5">
        <v>0</v>
      </c>
      <c r="H258" s="5">
        <v>1</v>
      </c>
      <c r="I258" s="5">
        <v>0</v>
      </c>
      <c r="J258" s="5">
        <v>0</v>
      </c>
      <c r="M258" s="6">
        <v>225</v>
      </c>
      <c r="N258" s="5">
        <v>616882.43425452278</v>
      </c>
      <c r="O258" s="7">
        <v>24682.165745477192</v>
      </c>
    </row>
    <row r="259" spans="1:15">
      <c r="A259" s="5">
        <v>840108.12</v>
      </c>
      <c r="B259" s="5">
        <v>65272.58</v>
      </c>
      <c r="C259" s="5">
        <v>8165</v>
      </c>
      <c r="D259" s="5">
        <v>87.8</v>
      </c>
      <c r="E259" s="5">
        <v>0</v>
      </c>
      <c r="F259" s="5">
        <v>1</v>
      </c>
      <c r="G259" s="5">
        <v>0</v>
      </c>
      <c r="H259" s="5">
        <v>0</v>
      </c>
      <c r="I259" s="5">
        <v>0</v>
      </c>
      <c r="J259" s="5">
        <v>0</v>
      </c>
      <c r="M259" s="6">
        <v>226</v>
      </c>
      <c r="N259" s="5">
        <v>531295.11635570379</v>
      </c>
      <c r="O259" s="7">
        <v>5250.3736442961963</v>
      </c>
    </row>
    <row r="260" spans="1:15">
      <c r="A260" s="5">
        <v>697888.09</v>
      </c>
      <c r="B260" s="5">
        <v>28670.43</v>
      </c>
      <c r="C260" s="5">
        <v>7574</v>
      </c>
      <c r="D260" s="5">
        <v>82.7</v>
      </c>
      <c r="E260" s="5">
        <v>0</v>
      </c>
      <c r="F260" s="5">
        <v>1</v>
      </c>
      <c r="G260" s="5">
        <v>0</v>
      </c>
      <c r="H260" s="5">
        <v>0</v>
      </c>
      <c r="I260" s="5">
        <v>0</v>
      </c>
      <c r="J260" s="5">
        <v>0</v>
      </c>
      <c r="M260" s="6">
        <v>227</v>
      </c>
      <c r="N260" s="5">
        <v>560141.08399687218</v>
      </c>
      <c r="O260" s="7">
        <v>-32459.523996872129</v>
      </c>
    </row>
    <row r="261" spans="1:15">
      <c r="A261" s="5">
        <v>746115.59</v>
      </c>
      <c r="B261" s="5">
        <v>44189.34</v>
      </c>
      <c r="C261" s="5">
        <v>8634</v>
      </c>
      <c r="D261" s="5">
        <v>87.5</v>
      </c>
      <c r="E261" s="5">
        <v>0</v>
      </c>
      <c r="F261" s="5">
        <v>1</v>
      </c>
      <c r="G261" s="5">
        <v>0</v>
      </c>
      <c r="H261" s="5">
        <v>0</v>
      </c>
      <c r="I261" s="5">
        <v>0</v>
      </c>
      <c r="J261" s="5">
        <v>0</v>
      </c>
      <c r="M261" s="6">
        <v>228</v>
      </c>
      <c r="N261" s="5">
        <v>506269.2422878496</v>
      </c>
      <c r="O261" s="7">
        <v>23329.697712150344</v>
      </c>
    </row>
    <row r="262" spans="1:15">
      <c r="A262" s="5">
        <v>776110.32</v>
      </c>
      <c r="B262" s="5">
        <v>38397.82</v>
      </c>
      <c r="C262" s="5">
        <v>7836</v>
      </c>
      <c r="D262" s="5">
        <v>92.2</v>
      </c>
      <c r="E262" s="5">
        <v>0</v>
      </c>
      <c r="F262" s="5">
        <v>1</v>
      </c>
      <c r="G262" s="5">
        <v>0</v>
      </c>
      <c r="H262" s="5">
        <v>0</v>
      </c>
      <c r="I262" s="5">
        <v>0</v>
      </c>
      <c r="J262" s="5">
        <v>0</v>
      </c>
      <c r="M262" s="6">
        <v>229</v>
      </c>
      <c r="N262" s="5">
        <v>619774.77583794494</v>
      </c>
      <c r="O262" s="7">
        <v>-48811.465837944881</v>
      </c>
    </row>
    <row r="263" spans="1:15">
      <c r="A263" s="5">
        <v>528852.62</v>
      </c>
      <c r="B263" s="5">
        <v>14519.37</v>
      </c>
      <c r="C263" s="5">
        <v>3047</v>
      </c>
      <c r="D263" s="5">
        <v>90.3</v>
      </c>
      <c r="E263" s="5">
        <v>0</v>
      </c>
      <c r="F263" s="5">
        <v>0</v>
      </c>
      <c r="G263" s="5">
        <v>0</v>
      </c>
      <c r="H263" s="5">
        <v>0</v>
      </c>
      <c r="I263" s="5">
        <v>1</v>
      </c>
      <c r="J263" s="5">
        <v>0</v>
      </c>
      <c r="M263" s="6">
        <v>230</v>
      </c>
      <c r="N263" s="5">
        <v>813182.56984956784</v>
      </c>
      <c r="O263" s="7">
        <v>57754.830150432186</v>
      </c>
    </row>
    <row r="264" spans="1:15">
      <c r="A264" s="5">
        <v>605751.32999999996</v>
      </c>
      <c r="B264" s="5">
        <v>43288.2</v>
      </c>
      <c r="C264" s="5">
        <v>4783</v>
      </c>
      <c r="D264" s="5">
        <v>87.3</v>
      </c>
      <c r="E264" s="5">
        <v>0</v>
      </c>
      <c r="F264" s="5">
        <v>0</v>
      </c>
      <c r="G264" s="5">
        <v>0</v>
      </c>
      <c r="H264" s="5">
        <v>0</v>
      </c>
      <c r="I264" s="5">
        <v>1</v>
      </c>
      <c r="J264" s="5">
        <v>0</v>
      </c>
      <c r="M264" s="6">
        <v>231</v>
      </c>
      <c r="N264" s="5">
        <v>630310.42162300937</v>
      </c>
      <c r="O264" s="7">
        <v>-33341.151623009355</v>
      </c>
    </row>
    <row r="265" spans="1:15">
      <c r="A265" s="5">
        <v>677640.65</v>
      </c>
      <c r="B265" s="5">
        <v>51450.55</v>
      </c>
      <c r="C265" s="5">
        <v>4902</v>
      </c>
      <c r="D265" s="5">
        <v>83.7</v>
      </c>
      <c r="E265" s="5">
        <v>0</v>
      </c>
      <c r="F265" s="5">
        <v>0</v>
      </c>
      <c r="G265" s="5">
        <v>0</v>
      </c>
      <c r="H265" s="5">
        <v>0</v>
      </c>
      <c r="I265" s="5">
        <v>1</v>
      </c>
      <c r="J265" s="5">
        <v>0</v>
      </c>
      <c r="M265" s="6">
        <v>232</v>
      </c>
      <c r="N265" s="5">
        <v>617303.51562010252</v>
      </c>
      <c r="O265" s="7">
        <v>30209.334379897453</v>
      </c>
    </row>
    <row r="266" spans="1:15">
      <c r="A266" s="5">
        <v>636613.23</v>
      </c>
      <c r="B266" s="5">
        <v>58688.26</v>
      </c>
      <c r="C266" s="5">
        <v>4022</v>
      </c>
      <c r="D266" s="5">
        <v>93.8</v>
      </c>
      <c r="E266" s="5">
        <v>0</v>
      </c>
      <c r="F266" s="5">
        <v>0</v>
      </c>
      <c r="G266" s="5">
        <v>0</v>
      </c>
      <c r="H266" s="5">
        <v>0</v>
      </c>
      <c r="I266" s="5">
        <v>1</v>
      </c>
      <c r="J266" s="5">
        <v>0</v>
      </c>
      <c r="M266" s="6">
        <v>233</v>
      </c>
      <c r="N266" s="5">
        <v>604430.1558604727</v>
      </c>
      <c r="O266" s="7">
        <v>53641.984139527311</v>
      </c>
    </row>
    <row r="267" spans="1:15">
      <c r="A267" s="5">
        <v>708985.19</v>
      </c>
      <c r="B267" s="5">
        <v>58981.91</v>
      </c>
      <c r="C267" s="5">
        <v>7324</v>
      </c>
      <c r="D267" s="5">
        <v>95.8</v>
      </c>
      <c r="E267" s="5">
        <v>0</v>
      </c>
      <c r="F267" s="5">
        <v>0</v>
      </c>
      <c r="G267" s="5">
        <v>1</v>
      </c>
      <c r="H267" s="5">
        <v>0</v>
      </c>
      <c r="I267" s="5">
        <v>1</v>
      </c>
      <c r="J267" s="5">
        <v>0</v>
      </c>
      <c r="M267" s="6">
        <v>234</v>
      </c>
      <c r="N267" s="5">
        <v>639279.12248581462</v>
      </c>
      <c r="O267" s="7">
        <v>84025.98751418537</v>
      </c>
    </row>
    <row r="268" spans="1:15">
      <c r="A268" s="5">
        <v>767792.94</v>
      </c>
      <c r="B268" s="5">
        <v>73454.539999999994</v>
      </c>
      <c r="C268" s="5">
        <v>8129</v>
      </c>
      <c r="D268" s="5">
        <v>85.2</v>
      </c>
      <c r="E268" s="5">
        <v>0</v>
      </c>
      <c r="F268" s="5">
        <v>0</v>
      </c>
      <c r="G268" s="5">
        <v>1</v>
      </c>
      <c r="H268" s="5">
        <v>0</v>
      </c>
      <c r="I268" s="5">
        <v>1</v>
      </c>
      <c r="J268" s="5">
        <v>0</v>
      </c>
      <c r="M268" s="6">
        <v>235</v>
      </c>
      <c r="N268" s="5">
        <v>622046.26230723038</v>
      </c>
      <c r="O268" s="7">
        <v>18620.267692769645</v>
      </c>
    </row>
    <row r="269" spans="1:15">
      <c r="A269" s="5">
        <v>745580.51</v>
      </c>
      <c r="B269" s="5">
        <v>56602.39</v>
      </c>
      <c r="C269" s="5">
        <v>7969</v>
      </c>
      <c r="D269" s="5">
        <v>88.3</v>
      </c>
      <c r="E269" s="5">
        <v>0</v>
      </c>
      <c r="F269" s="5">
        <v>0</v>
      </c>
      <c r="G269" s="5">
        <v>1</v>
      </c>
      <c r="H269" s="5">
        <v>0</v>
      </c>
      <c r="I269" s="5">
        <v>1</v>
      </c>
      <c r="J269" s="5">
        <v>0</v>
      </c>
      <c r="M269" s="6">
        <v>236</v>
      </c>
      <c r="N269" s="5">
        <v>660587.64923041686</v>
      </c>
      <c r="O269" s="7">
        <v>10041.830769583117</v>
      </c>
    </row>
    <row r="270" spans="1:15">
      <c r="A270" s="5">
        <v>762328.31</v>
      </c>
      <c r="B270" s="5">
        <v>67722.289999999994</v>
      </c>
      <c r="C270" s="5">
        <v>7240</v>
      </c>
      <c r="D270" s="5">
        <v>92.9</v>
      </c>
      <c r="E270" s="5">
        <v>0</v>
      </c>
      <c r="F270" s="5">
        <v>0</v>
      </c>
      <c r="G270" s="5">
        <v>1</v>
      </c>
      <c r="H270" s="5">
        <v>0</v>
      </c>
      <c r="I270" s="5">
        <v>1</v>
      </c>
      <c r="J270" s="5">
        <v>0</v>
      </c>
      <c r="M270" s="6">
        <v>237</v>
      </c>
      <c r="N270" s="5">
        <v>806048.18135002023</v>
      </c>
      <c r="O270" s="7">
        <v>-84968.831350020249</v>
      </c>
    </row>
    <row r="271" spans="1:15">
      <c r="A271" s="5">
        <v>660633.99</v>
      </c>
      <c r="B271" s="5">
        <v>48752.92</v>
      </c>
      <c r="C271" s="5">
        <v>8052</v>
      </c>
      <c r="D271" s="5">
        <v>94.9</v>
      </c>
      <c r="E271" s="5">
        <v>0</v>
      </c>
      <c r="F271" s="5">
        <v>0</v>
      </c>
      <c r="G271" s="5">
        <v>1</v>
      </c>
      <c r="H271" s="5">
        <v>0</v>
      </c>
      <c r="I271" s="5">
        <v>0</v>
      </c>
      <c r="J271" s="5">
        <v>0</v>
      </c>
      <c r="M271" s="6">
        <v>238</v>
      </c>
      <c r="N271" s="5">
        <v>839591.19893320638</v>
      </c>
      <c r="O271" s="7">
        <v>-29236.178933206364</v>
      </c>
    </row>
    <row r="272" spans="1:15">
      <c r="A272" s="5">
        <v>739374.56</v>
      </c>
      <c r="B272" s="5">
        <v>23914.97</v>
      </c>
      <c r="C272" s="5">
        <v>8018</v>
      </c>
      <c r="D272" s="5">
        <v>89</v>
      </c>
      <c r="E272" s="5">
        <v>0</v>
      </c>
      <c r="F272" s="5">
        <v>0</v>
      </c>
      <c r="G272" s="5">
        <v>1</v>
      </c>
      <c r="H272" s="5">
        <v>0</v>
      </c>
      <c r="I272" s="5">
        <v>0</v>
      </c>
      <c r="J272" s="5">
        <v>0</v>
      </c>
      <c r="M272" s="6">
        <v>239</v>
      </c>
      <c r="N272" s="5">
        <v>788833.56117428816</v>
      </c>
      <c r="O272" s="7">
        <v>-26914.311174288159</v>
      </c>
    </row>
    <row r="273" spans="1:15">
      <c r="A273" s="5">
        <v>799756.46</v>
      </c>
      <c r="B273" s="5">
        <v>61995.3</v>
      </c>
      <c r="C273" s="5">
        <v>10192</v>
      </c>
      <c r="D273" s="5">
        <v>87.6</v>
      </c>
      <c r="E273" s="5">
        <v>0</v>
      </c>
      <c r="F273" s="5">
        <v>0</v>
      </c>
      <c r="G273" s="5">
        <v>1</v>
      </c>
      <c r="H273" s="5">
        <v>0</v>
      </c>
      <c r="I273" s="5">
        <v>0</v>
      </c>
      <c r="J273" s="5">
        <v>0</v>
      </c>
      <c r="M273" s="6">
        <v>240</v>
      </c>
      <c r="N273" s="5">
        <v>744995.16975575348</v>
      </c>
      <c r="O273" s="7">
        <v>-7924.9897557534277</v>
      </c>
    </row>
    <row r="274" spans="1:15">
      <c r="A274" s="5">
        <v>593343</v>
      </c>
      <c r="B274" s="5">
        <v>29344.93</v>
      </c>
      <c r="C274" s="5">
        <v>7446</v>
      </c>
      <c r="D274" s="5">
        <v>86.2</v>
      </c>
      <c r="E274" s="5">
        <v>0</v>
      </c>
      <c r="F274" s="5">
        <v>0</v>
      </c>
      <c r="G274" s="5">
        <v>1</v>
      </c>
      <c r="H274" s="5">
        <v>0</v>
      </c>
      <c r="I274" s="5">
        <v>0</v>
      </c>
      <c r="J274" s="5">
        <v>0</v>
      </c>
      <c r="M274" s="6">
        <v>241</v>
      </c>
      <c r="N274" s="5">
        <v>771936.50098948891</v>
      </c>
      <c r="O274" s="7">
        <v>5056.4290105111431</v>
      </c>
    </row>
    <row r="275" spans="1:15">
      <c r="A275" s="5">
        <v>645039.97</v>
      </c>
      <c r="B275" s="5">
        <v>50532.17</v>
      </c>
      <c r="C275" s="5">
        <v>5689</v>
      </c>
      <c r="D275" s="5">
        <v>85.6</v>
      </c>
      <c r="E275" s="5">
        <v>0</v>
      </c>
      <c r="F275" s="5">
        <v>0</v>
      </c>
      <c r="G275" s="5">
        <v>0</v>
      </c>
      <c r="H275" s="5">
        <v>0</v>
      </c>
      <c r="I275" s="5">
        <v>1</v>
      </c>
      <c r="J275" s="5">
        <v>0</v>
      </c>
      <c r="M275" s="6">
        <v>242</v>
      </c>
      <c r="N275" s="5">
        <v>668608.51680196205</v>
      </c>
      <c r="O275" s="7">
        <v>7728.8931980379857</v>
      </c>
    </row>
    <row r="276" spans="1:15">
      <c r="A276" s="5">
        <v>561597.32999999996</v>
      </c>
      <c r="B276" s="5">
        <v>17562.57</v>
      </c>
      <c r="C276" s="5">
        <v>3326</v>
      </c>
      <c r="D276" s="5">
        <v>88.1</v>
      </c>
      <c r="E276" s="5">
        <v>0</v>
      </c>
      <c r="F276" s="5">
        <v>0</v>
      </c>
      <c r="G276" s="5">
        <v>0</v>
      </c>
      <c r="H276" s="5">
        <v>0</v>
      </c>
      <c r="I276" s="5">
        <v>1</v>
      </c>
      <c r="J276" s="5">
        <v>0</v>
      </c>
      <c r="M276" s="6">
        <v>243</v>
      </c>
      <c r="N276" s="5">
        <v>839067.11817092204</v>
      </c>
      <c r="O276" s="7">
        <v>-10847.448170921998</v>
      </c>
    </row>
    <row r="277" spans="1:15">
      <c r="A277" s="5">
        <v>635837.74</v>
      </c>
      <c r="B277" s="5">
        <v>47648.71</v>
      </c>
      <c r="C277" s="5">
        <v>5767</v>
      </c>
      <c r="D277" s="5">
        <v>89.8</v>
      </c>
      <c r="E277" s="5">
        <v>0</v>
      </c>
      <c r="F277" s="5">
        <v>0</v>
      </c>
      <c r="G277" s="5">
        <v>0</v>
      </c>
      <c r="H277" s="5">
        <v>0</v>
      </c>
      <c r="I277" s="5">
        <v>1</v>
      </c>
      <c r="J277" s="5">
        <v>0</v>
      </c>
      <c r="M277" s="6">
        <v>244</v>
      </c>
      <c r="N277" s="5">
        <v>779203.70417181961</v>
      </c>
      <c r="O277" s="7">
        <v>-16043.78417181957</v>
      </c>
    </row>
    <row r="278" spans="1:15">
      <c r="A278" s="5">
        <v>686737.87</v>
      </c>
      <c r="B278" s="5">
        <v>38297.58</v>
      </c>
      <c r="C278" s="5">
        <v>5893</v>
      </c>
      <c r="D278" s="5">
        <v>77.599999999999994</v>
      </c>
      <c r="E278" s="5">
        <v>0</v>
      </c>
      <c r="F278" s="5">
        <v>0</v>
      </c>
      <c r="G278" s="5">
        <v>0</v>
      </c>
      <c r="H278" s="5">
        <v>0</v>
      </c>
      <c r="I278" s="5">
        <v>1</v>
      </c>
      <c r="J278" s="5">
        <v>0</v>
      </c>
      <c r="M278" s="6">
        <v>245</v>
      </c>
      <c r="N278" s="5">
        <v>782758.24907050596</v>
      </c>
      <c r="O278" s="7">
        <v>19243.43092949409</v>
      </c>
    </row>
    <row r="279" spans="1:15">
      <c r="A279" s="5">
        <v>673076.34</v>
      </c>
      <c r="B279" s="5">
        <v>61784.11</v>
      </c>
      <c r="C279" s="5">
        <v>8564</v>
      </c>
      <c r="D279" s="5">
        <v>87.4</v>
      </c>
      <c r="E279" s="5">
        <v>0</v>
      </c>
      <c r="F279" s="5">
        <v>1</v>
      </c>
      <c r="G279" s="5">
        <v>0</v>
      </c>
      <c r="H279" s="5">
        <v>0</v>
      </c>
      <c r="I279" s="5">
        <v>0</v>
      </c>
      <c r="J279" s="5">
        <v>1</v>
      </c>
      <c r="M279" s="6">
        <v>246</v>
      </c>
      <c r="N279" s="5">
        <v>738373.5637454734</v>
      </c>
      <c r="O279" s="7">
        <v>12097.776254526572</v>
      </c>
    </row>
    <row r="280" spans="1:15">
      <c r="A280" s="5">
        <v>738548.42</v>
      </c>
      <c r="B280" s="5">
        <v>36832.33</v>
      </c>
      <c r="C280" s="5">
        <v>8001</v>
      </c>
      <c r="D280" s="5">
        <v>88.7</v>
      </c>
      <c r="E280" s="5">
        <v>0</v>
      </c>
      <c r="F280" s="5">
        <v>1</v>
      </c>
      <c r="G280" s="5">
        <v>0</v>
      </c>
      <c r="H280" s="5">
        <v>0</v>
      </c>
      <c r="I280" s="5">
        <v>0</v>
      </c>
      <c r="J280" s="5">
        <v>1</v>
      </c>
      <c r="M280" s="6">
        <v>247</v>
      </c>
      <c r="N280" s="5">
        <v>709070.99252524122</v>
      </c>
      <c r="O280" s="7">
        <v>-29840.132525241235</v>
      </c>
    </row>
    <row r="281" spans="1:15">
      <c r="A281" s="5">
        <v>756619.77</v>
      </c>
      <c r="B281" s="5">
        <v>48609.41</v>
      </c>
      <c r="C281" s="5">
        <v>9324</v>
      </c>
      <c r="D281" s="5">
        <v>86.5</v>
      </c>
      <c r="E281" s="5">
        <v>0</v>
      </c>
      <c r="F281" s="5">
        <v>1</v>
      </c>
      <c r="G281" s="5">
        <v>0</v>
      </c>
      <c r="H281" s="5">
        <v>0</v>
      </c>
      <c r="I281" s="5">
        <v>0</v>
      </c>
      <c r="J281" s="5">
        <v>1</v>
      </c>
      <c r="M281" s="6">
        <v>248</v>
      </c>
      <c r="N281" s="5">
        <v>687543.5545060978</v>
      </c>
      <c r="O281" s="7">
        <v>-7654.8145060978131</v>
      </c>
    </row>
    <row r="282" spans="1:15">
      <c r="A282" s="5">
        <v>761122.42</v>
      </c>
      <c r="B282" s="5">
        <v>70284.06</v>
      </c>
      <c r="C282" s="5">
        <v>9109</v>
      </c>
      <c r="D282" s="5">
        <v>87</v>
      </c>
      <c r="E282" s="5">
        <v>0</v>
      </c>
      <c r="F282" s="5">
        <v>1</v>
      </c>
      <c r="G282" s="5">
        <v>0</v>
      </c>
      <c r="H282" s="5">
        <v>0</v>
      </c>
      <c r="I282" s="5">
        <v>0</v>
      </c>
      <c r="J282" s="5">
        <v>1</v>
      </c>
      <c r="M282" s="6">
        <v>249</v>
      </c>
      <c r="N282" s="5">
        <v>592119.56034186948</v>
      </c>
      <c r="O282" s="7">
        <v>14664.109658130561</v>
      </c>
    </row>
    <row r="283" spans="1:15">
      <c r="A283" s="5">
        <v>524899.56999999995</v>
      </c>
      <c r="B283" s="5">
        <v>45940.39</v>
      </c>
      <c r="C283" s="5">
        <v>4022</v>
      </c>
      <c r="D283" s="5">
        <v>83</v>
      </c>
      <c r="E283" s="5">
        <v>0</v>
      </c>
      <c r="F283" s="5">
        <v>1</v>
      </c>
      <c r="G283" s="5">
        <v>0</v>
      </c>
      <c r="H283" s="5">
        <v>0</v>
      </c>
      <c r="I283" s="5">
        <v>1</v>
      </c>
      <c r="J283" s="5">
        <v>0</v>
      </c>
      <c r="M283" s="6">
        <v>250</v>
      </c>
      <c r="N283" s="5">
        <v>651806.44374243612</v>
      </c>
      <c r="O283" s="7">
        <v>-9055.0237424360821</v>
      </c>
    </row>
    <row r="284" spans="1:15">
      <c r="A284" s="5">
        <v>555557.77</v>
      </c>
      <c r="B284" s="5">
        <v>34771.26</v>
      </c>
      <c r="C284" s="5">
        <v>4355</v>
      </c>
      <c r="D284" s="5">
        <v>87.9</v>
      </c>
      <c r="E284" s="5">
        <v>0</v>
      </c>
      <c r="F284" s="5">
        <v>1</v>
      </c>
      <c r="G284" s="5">
        <v>0</v>
      </c>
      <c r="H284" s="5">
        <v>0</v>
      </c>
      <c r="I284" s="5">
        <v>1</v>
      </c>
      <c r="J284" s="5">
        <v>0</v>
      </c>
      <c r="M284" s="6">
        <v>251</v>
      </c>
      <c r="N284" s="5">
        <v>649128.47452166537</v>
      </c>
      <c r="O284" s="7">
        <v>-1174.6945216653403</v>
      </c>
    </row>
    <row r="285" spans="1:15">
      <c r="A285" s="5">
        <v>714083.68</v>
      </c>
      <c r="B285" s="5">
        <v>66104.19</v>
      </c>
      <c r="C285" s="5">
        <v>5745</v>
      </c>
      <c r="D285" s="5">
        <v>95.8</v>
      </c>
      <c r="E285" s="5">
        <v>0</v>
      </c>
      <c r="F285" s="5">
        <v>1</v>
      </c>
      <c r="G285" s="5">
        <v>0</v>
      </c>
      <c r="H285" s="5">
        <v>0</v>
      </c>
      <c r="I285" s="5">
        <v>1</v>
      </c>
      <c r="J285" s="5">
        <v>0</v>
      </c>
      <c r="M285" s="6">
        <v>252</v>
      </c>
      <c r="N285" s="5">
        <v>709678.71351552429</v>
      </c>
      <c r="O285" s="7">
        <v>19761.736484475667</v>
      </c>
    </row>
    <row r="286" spans="1:15">
      <c r="A286" s="5">
        <v>497439.82</v>
      </c>
      <c r="B286" s="5">
        <v>18599.21</v>
      </c>
      <c r="C286" s="5">
        <v>3027</v>
      </c>
      <c r="D286" s="5">
        <v>80.900000000000006</v>
      </c>
      <c r="E286" s="5">
        <v>0</v>
      </c>
      <c r="F286" s="5">
        <v>1</v>
      </c>
      <c r="G286" s="5">
        <v>0</v>
      </c>
      <c r="H286" s="5">
        <v>0</v>
      </c>
      <c r="I286" s="5">
        <v>1</v>
      </c>
      <c r="J286" s="5">
        <v>0</v>
      </c>
      <c r="M286" s="6">
        <v>253</v>
      </c>
      <c r="N286" s="5">
        <v>782657.4418829144</v>
      </c>
      <c r="O286" s="7">
        <v>-17708.441882914398</v>
      </c>
    </row>
    <row r="287" spans="1:15">
      <c r="A287" s="5">
        <v>636775.66</v>
      </c>
      <c r="B287" s="5">
        <v>60183.06</v>
      </c>
      <c r="C287" s="5">
        <v>5562</v>
      </c>
      <c r="D287" s="5">
        <v>86.3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1</v>
      </c>
      <c r="M287" s="6">
        <v>254</v>
      </c>
      <c r="N287" s="5">
        <v>735379.48335054447</v>
      </c>
      <c r="O287" s="7">
        <v>63667.456649455475</v>
      </c>
    </row>
    <row r="288" spans="1:15">
      <c r="A288" s="5">
        <v>633009.53</v>
      </c>
      <c r="B288" s="5">
        <v>74539.14</v>
      </c>
      <c r="C288" s="5">
        <v>4487</v>
      </c>
      <c r="D288" s="5">
        <v>90.4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1</v>
      </c>
      <c r="M288" s="6">
        <v>255</v>
      </c>
      <c r="N288" s="5">
        <v>703560.80087064335</v>
      </c>
      <c r="O288" s="7">
        <v>16518.739129356691</v>
      </c>
    </row>
    <row r="289" spans="1:15">
      <c r="A289" s="5">
        <v>609949</v>
      </c>
      <c r="B289" s="5">
        <v>55371.97</v>
      </c>
      <c r="C289" s="5">
        <v>4162</v>
      </c>
      <c r="D289" s="5">
        <v>92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1</v>
      </c>
      <c r="M289" s="6">
        <v>256</v>
      </c>
      <c r="N289" s="5">
        <v>663197.1175798988</v>
      </c>
      <c r="O289" s="7">
        <v>-50806.977579898783</v>
      </c>
    </row>
    <row r="290" spans="1:15">
      <c r="A290" s="5">
        <v>548103.69999999995</v>
      </c>
      <c r="B290" s="5">
        <v>40928.69</v>
      </c>
      <c r="C290" s="5">
        <v>4094</v>
      </c>
      <c r="D290" s="5">
        <v>82.4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1</v>
      </c>
      <c r="M290" s="6">
        <v>257</v>
      </c>
      <c r="N290" s="5">
        <v>765919.90131245379</v>
      </c>
      <c r="O290" s="7">
        <v>74188.218687546207</v>
      </c>
    </row>
    <row r="291" spans="1:15">
      <c r="A291" s="5">
        <v>729424.42</v>
      </c>
      <c r="B291" s="5">
        <v>70012.41</v>
      </c>
      <c r="C291" s="5">
        <v>8484</v>
      </c>
      <c r="D291" s="5">
        <v>72.900000000000006</v>
      </c>
      <c r="E291" s="5">
        <v>0</v>
      </c>
      <c r="F291" s="5">
        <v>0</v>
      </c>
      <c r="G291" s="5">
        <v>1</v>
      </c>
      <c r="H291" s="5">
        <v>0</v>
      </c>
      <c r="I291" s="5">
        <v>0</v>
      </c>
      <c r="J291" s="5">
        <v>1</v>
      </c>
      <c r="M291" s="6">
        <v>258</v>
      </c>
      <c r="N291" s="5">
        <v>687309.81544157444</v>
      </c>
      <c r="O291" s="7">
        <v>10578.274558425532</v>
      </c>
    </row>
    <row r="292" spans="1:15">
      <c r="A292" s="5">
        <v>696261.49</v>
      </c>
      <c r="B292" s="5">
        <v>68909.259999999995</v>
      </c>
      <c r="C292" s="5">
        <v>7794</v>
      </c>
      <c r="D292" s="5">
        <v>89</v>
      </c>
      <c r="E292" s="5">
        <v>0</v>
      </c>
      <c r="F292" s="5">
        <v>0</v>
      </c>
      <c r="G292" s="5">
        <v>1</v>
      </c>
      <c r="H292" s="5">
        <v>0</v>
      </c>
      <c r="I292" s="5">
        <v>0</v>
      </c>
      <c r="J292" s="5">
        <v>1</v>
      </c>
      <c r="M292" s="6">
        <v>259</v>
      </c>
      <c r="N292" s="5">
        <v>755857.33641248476</v>
      </c>
      <c r="O292" s="7">
        <v>-9741.7464124847902</v>
      </c>
    </row>
    <row r="293" spans="1:15">
      <c r="A293" s="5">
        <v>813316.71</v>
      </c>
      <c r="B293" s="5">
        <v>56737.3</v>
      </c>
      <c r="C293" s="5">
        <v>8300</v>
      </c>
      <c r="D293" s="5">
        <v>83.2</v>
      </c>
      <c r="E293" s="5">
        <v>0</v>
      </c>
      <c r="F293" s="5">
        <v>0</v>
      </c>
      <c r="G293" s="5">
        <v>1</v>
      </c>
      <c r="H293" s="5">
        <v>0</v>
      </c>
      <c r="I293" s="5">
        <v>0</v>
      </c>
      <c r="J293" s="5">
        <v>1</v>
      </c>
      <c r="M293" s="6">
        <v>260</v>
      </c>
      <c r="N293" s="5">
        <v>735872.77885890077</v>
      </c>
      <c r="O293" s="7">
        <v>40237.54114109918</v>
      </c>
    </row>
    <row r="294" spans="1:15">
      <c r="A294" s="5">
        <v>702068.92</v>
      </c>
      <c r="B294" s="5">
        <v>54080.91</v>
      </c>
      <c r="C294" s="5">
        <v>7083</v>
      </c>
      <c r="D294" s="5">
        <v>97</v>
      </c>
      <c r="E294" s="5">
        <v>0</v>
      </c>
      <c r="F294" s="5">
        <v>0</v>
      </c>
      <c r="G294" s="5">
        <v>1</v>
      </c>
      <c r="H294" s="5">
        <v>0</v>
      </c>
      <c r="I294" s="5">
        <v>0</v>
      </c>
      <c r="J294" s="5">
        <v>1</v>
      </c>
      <c r="M294" s="6">
        <v>261</v>
      </c>
      <c r="N294" s="5">
        <v>526106.79170481989</v>
      </c>
      <c r="O294" s="7">
        <v>2745.8282951801084</v>
      </c>
    </row>
    <row r="295" spans="1:15">
      <c r="A295" s="5">
        <v>546223.69999999995</v>
      </c>
      <c r="B295" s="5">
        <v>51996.32</v>
      </c>
      <c r="C295" s="5">
        <v>3834</v>
      </c>
      <c r="D295" s="5">
        <v>86.7</v>
      </c>
      <c r="E295" s="5">
        <v>0</v>
      </c>
      <c r="F295" s="5">
        <v>0</v>
      </c>
      <c r="G295" s="5">
        <v>0</v>
      </c>
      <c r="H295" s="5">
        <v>0</v>
      </c>
      <c r="I295" s="5">
        <v>1</v>
      </c>
      <c r="J295" s="5">
        <v>0</v>
      </c>
      <c r="M295" s="6">
        <v>262</v>
      </c>
      <c r="N295" s="5">
        <v>610191.28302070801</v>
      </c>
      <c r="O295" s="7">
        <v>-4439.9530207080534</v>
      </c>
    </row>
    <row r="296" spans="1:15">
      <c r="A296" s="5">
        <v>533121.26</v>
      </c>
      <c r="B296" s="5">
        <v>40102.879999999997</v>
      </c>
      <c r="C296" s="5">
        <v>2358</v>
      </c>
      <c r="D296" s="5">
        <v>88.7</v>
      </c>
      <c r="E296" s="5">
        <v>0</v>
      </c>
      <c r="F296" s="5">
        <v>0</v>
      </c>
      <c r="G296" s="5">
        <v>0</v>
      </c>
      <c r="H296" s="5">
        <v>0</v>
      </c>
      <c r="I296" s="5">
        <v>1</v>
      </c>
      <c r="J296" s="5">
        <v>0</v>
      </c>
      <c r="M296" s="6">
        <v>263</v>
      </c>
      <c r="N296" s="5">
        <v>613259.81998999289</v>
      </c>
      <c r="O296" s="7">
        <v>64380.830010007136</v>
      </c>
    </row>
    <row r="297" spans="1:15">
      <c r="A297" s="5">
        <v>498970.32</v>
      </c>
      <c r="B297" s="5">
        <v>59825.51</v>
      </c>
      <c r="C297" s="5">
        <v>1231</v>
      </c>
      <c r="D297" s="5">
        <v>84.8</v>
      </c>
      <c r="E297" s="5">
        <v>0</v>
      </c>
      <c r="F297" s="5">
        <v>0</v>
      </c>
      <c r="G297" s="5">
        <v>0</v>
      </c>
      <c r="H297" s="5">
        <v>0</v>
      </c>
      <c r="I297" s="5">
        <v>1</v>
      </c>
      <c r="J297" s="5">
        <v>0</v>
      </c>
      <c r="M297" s="6">
        <v>264</v>
      </c>
      <c r="N297" s="5">
        <v>621973.0083843848</v>
      </c>
      <c r="O297" s="7">
        <v>14640.221615615184</v>
      </c>
    </row>
    <row r="298" spans="1:15">
      <c r="A298" s="5">
        <v>487738.26</v>
      </c>
      <c r="B298" s="5">
        <v>27398.28</v>
      </c>
      <c r="C298" s="5">
        <v>1723</v>
      </c>
      <c r="D298" s="5">
        <v>81</v>
      </c>
      <c r="E298" s="5">
        <v>0</v>
      </c>
      <c r="F298" s="5">
        <v>0</v>
      </c>
      <c r="G298" s="5">
        <v>0</v>
      </c>
      <c r="H298" s="5">
        <v>0</v>
      </c>
      <c r="I298" s="5">
        <v>1</v>
      </c>
      <c r="J298" s="5">
        <v>0</v>
      </c>
      <c r="M298" s="6">
        <v>265</v>
      </c>
      <c r="N298" s="5">
        <v>721114.79584065778</v>
      </c>
      <c r="O298" s="7">
        <v>-12129.605840657838</v>
      </c>
    </row>
    <row r="299" spans="1:15">
      <c r="A299" s="5">
        <v>668459.37</v>
      </c>
      <c r="B299" s="5">
        <v>55599.56</v>
      </c>
      <c r="C299" s="5">
        <v>5896</v>
      </c>
      <c r="D299" s="5">
        <v>93.1</v>
      </c>
      <c r="E299" s="5">
        <v>0</v>
      </c>
      <c r="F299" s="5">
        <v>0</v>
      </c>
      <c r="G299" s="5">
        <v>0</v>
      </c>
      <c r="H299" s="5">
        <v>0</v>
      </c>
      <c r="I299" s="5">
        <v>1</v>
      </c>
      <c r="J299" s="5">
        <v>0</v>
      </c>
      <c r="M299" s="6">
        <v>266</v>
      </c>
      <c r="N299" s="5">
        <v>734181.1414011725</v>
      </c>
      <c r="O299" s="7">
        <v>33611.798598827445</v>
      </c>
    </row>
    <row r="300" spans="1:15">
      <c r="A300" s="5">
        <v>763162.45</v>
      </c>
      <c r="B300" s="5">
        <v>55477.61</v>
      </c>
      <c r="C300" s="5">
        <v>5903</v>
      </c>
      <c r="D300" s="5">
        <v>96.2</v>
      </c>
      <c r="E300" s="5">
        <v>0</v>
      </c>
      <c r="F300" s="5">
        <v>0</v>
      </c>
      <c r="G300" s="5">
        <v>0</v>
      </c>
      <c r="H300" s="5">
        <v>0</v>
      </c>
      <c r="I300" s="5">
        <v>1</v>
      </c>
      <c r="J300" s="5">
        <v>0</v>
      </c>
      <c r="M300" s="6">
        <v>267</v>
      </c>
      <c r="N300" s="5">
        <v>717917.12381952081</v>
      </c>
      <c r="O300" s="7">
        <v>27663.386180479196</v>
      </c>
    </row>
    <row r="301" spans="1:15">
      <c r="A301" s="5">
        <v>599017.32999999996</v>
      </c>
      <c r="B301" s="5">
        <v>46174.7</v>
      </c>
      <c r="C301" s="5">
        <v>4898</v>
      </c>
      <c r="D301" s="5">
        <v>91.7</v>
      </c>
      <c r="E301" s="5">
        <v>0</v>
      </c>
      <c r="F301" s="5">
        <v>0</v>
      </c>
      <c r="G301" s="5">
        <v>0</v>
      </c>
      <c r="H301" s="5">
        <v>0</v>
      </c>
      <c r="I301" s="5">
        <v>1</v>
      </c>
      <c r="J301" s="5">
        <v>0</v>
      </c>
      <c r="M301" s="6">
        <v>268</v>
      </c>
      <c r="N301" s="5">
        <v>720069.58678432798</v>
      </c>
      <c r="O301" s="7">
        <v>42258.723215672071</v>
      </c>
    </row>
    <row r="302" spans="1:15">
      <c r="A302" s="5">
        <v>401582.58</v>
      </c>
      <c r="B302" s="5">
        <v>24362.98</v>
      </c>
      <c r="C302" s="5">
        <v>1462</v>
      </c>
      <c r="D302" s="5">
        <v>89.3</v>
      </c>
      <c r="E302" s="5">
        <v>0</v>
      </c>
      <c r="F302" s="5">
        <v>0</v>
      </c>
      <c r="G302" s="5">
        <v>0</v>
      </c>
      <c r="H302" s="5">
        <v>0</v>
      </c>
      <c r="I302" s="5">
        <v>1</v>
      </c>
      <c r="J302" s="5">
        <v>0</v>
      </c>
      <c r="M302" s="6">
        <v>269</v>
      </c>
      <c r="N302" s="5">
        <v>743239.28146371292</v>
      </c>
      <c r="O302" s="7">
        <v>-82605.291463712929</v>
      </c>
    </row>
    <row r="303" spans="1:15">
      <c r="A303" s="5">
        <v>703812.99</v>
      </c>
      <c r="B303" s="5">
        <v>40647.67</v>
      </c>
      <c r="C303" s="5">
        <v>8252</v>
      </c>
      <c r="D303" s="5">
        <v>88.2</v>
      </c>
      <c r="E303" s="5">
        <v>1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M303" s="6">
        <v>270</v>
      </c>
      <c r="N303" s="5">
        <v>695100.17553938599</v>
      </c>
      <c r="O303" s="7">
        <v>44274.384460614063</v>
      </c>
    </row>
    <row r="304" spans="1:15">
      <c r="A304" s="5">
        <v>724346.73</v>
      </c>
      <c r="B304" s="5">
        <v>63986.98</v>
      </c>
      <c r="C304" s="5">
        <v>7989</v>
      </c>
      <c r="D304" s="5">
        <v>83.3</v>
      </c>
      <c r="E304" s="5">
        <v>1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M304" s="6">
        <v>271</v>
      </c>
      <c r="N304" s="5">
        <v>809818.69305597735</v>
      </c>
      <c r="O304" s="7">
        <v>-10062.233055977384</v>
      </c>
    </row>
    <row r="305" spans="1:15">
      <c r="A305" s="5">
        <v>730890.01</v>
      </c>
      <c r="B305" s="5">
        <v>52843.75</v>
      </c>
      <c r="C305" s="5">
        <v>8268</v>
      </c>
      <c r="D305" s="5">
        <v>87.3</v>
      </c>
      <c r="E305" s="5">
        <v>1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M305" s="6">
        <v>272</v>
      </c>
      <c r="N305" s="5">
        <v>673893.54089130647</v>
      </c>
      <c r="O305" s="7">
        <v>-80550.540891306475</v>
      </c>
    </row>
    <row r="306" spans="1:15">
      <c r="A306" s="5">
        <v>780580.95</v>
      </c>
      <c r="B306" s="5">
        <v>31997.25</v>
      </c>
      <c r="C306" s="5">
        <v>8183</v>
      </c>
      <c r="D306" s="5">
        <v>93</v>
      </c>
      <c r="E306" s="5">
        <v>1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M306" s="6">
        <v>273</v>
      </c>
      <c r="N306" s="5">
        <v>644442.54282194586</v>
      </c>
      <c r="O306" s="7">
        <v>597.42717805411667</v>
      </c>
    </row>
    <row r="307" spans="1:15">
      <c r="A307" s="5">
        <v>727957.48</v>
      </c>
      <c r="B307" s="5">
        <v>54948.02</v>
      </c>
      <c r="C307" s="5">
        <v>6534</v>
      </c>
      <c r="D307" s="5">
        <v>94.5</v>
      </c>
      <c r="E307" s="5">
        <v>0</v>
      </c>
      <c r="F307" s="5">
        <v>1</v>
      </c>
      <c r="G307" s="5">
        <v>0</v>
      </c>
      <c r="H307" s="5">
        <v>0</v>
      </c>
      <c r="I307" s="5">
        <v>0</v>
      </c>
      <c r="J307" s="5">
        <v>1</v>
      </c>
      <c r="M307" s="6">
        <v>274</v>
      </c>
      <c r="N307" s="5">
        <v>532655.29502270883</v>
      </c>
      <c r="O307" s="7">
        <v>28942.034977291129</v>
      </c>
    </row>
    <row r="308" spans="1:15">
      <c r="A308" s="5">
        <v>538376</v>
      </c>
      <c r="B308" s="5">
        <v>46146.239999999998</v>
      </c>
      <c r="C308" s="5">
        <v>5804</v>
      </c>
      <c r="D308" s="5">
        <v>86.9</v>
      </c>
      <c r="E308" s="5">
        <v>0</v>
      </c>
      <c r="F308" s="5">
        <v>1</v>
      </c>
      <c r="G308" s="5">
        <v>0</v>
      </c>
      <c r="H308" s="5">
        <v>0</v>
      </c>
      <c r="I308" s="5">
        <v>0</v>
      </c>
      <c r="J308" s="5">
        <v>1</v>
      </c>
      <c r="M308" s="6">
        <v>275</v>
      </c>
      <c r="N308" s="5">
        <v>656094.36231531517</v>
      </c>
      <c r="O308" s="7">
        <v>-20256.62231531518</v>
      </c>
    </row>
    <row r="309" spans="1:15">
      <c r="A309" s="5">
        <v>665342.49</v>
      </c>
      <c r="B309" s="5">
        <v>22387.26</v>
      </c>
      <c r="C309" s="5">
        <v>6301</v>
      </c>
      <c r="D309" s="5">
        <v>85.9</v>
      </c>
      <c r="E309" s="5">
        <v>0</v>
      </c>
      <c r="F309" s="5">
        <v>1</v>
      </c>
      <c r="G309" s="5">
        <v>0</v>
      </c>
      <c r="H309" s="5">
        <v>0</v>
      </c>
      <c r="I309" s="5">
        <v>0</v>
      </c>
      <c r="J309" s="5">
        <v>1</v>
      </c>
      <c r="M309" s="6">
        <v>276</v>
      </c>
      <c r="N309" s="5">
        <v>613120.70713827724</v>
      </c>
      <c r="O309" s="7">
        <v>73617.162861722754</v>
      </c>
    </row>
    <row r="310" spans="1:15">
      <c r="A310" s="5">
        <v>651164.18000000005</v>
      </c>
      <c r="B310" s="5">
        <v>60684.05</v>
      </c>
      <c r="C310" s="5">
        <v>6399</v>
      </c>
      <c r="D310" s="5">
        <v>99</v>
      </c>
      <c r="E310" s="5">
        <v>0</v>
      </c>
      <c r="F310" s="5">
        <v>1</v>
      </c>
      <c r="G310" s="5">
        <v>0</v>
      </c>
      <c r="H310" s="5">
        <v>0</v>
      </c>
      <c r="I310" s="5">
        <v>0</v>
      </c>
      <c r="J310" s="5">
        <v>1</v>
      </c>
      <c r="M310" s="6">
        <v>277</v>
      </c>
      <c r="N310" s="5">
        <v>745228.03628868074</v>
      </c>
      <c r="O310" s="7">
        <v>-72151.696288680774</v>
      </c>
    </row>
    <row r="311" spans="1:15">
      <c r="A311" s="5">
        <v>628538.30000000005</v>
      </c>
      <c r="B311" s="5">
        <v>48465.599999999999</v>
      </c>
      <c r="C311" s="5">
        <v>5759</v>
      </c>
      <c r="D311" s="5">
        <v>87.5</v>
      </c>
      <c r="E311" s="5">
        <v>0</v>
      </c>
      <c r="F311" s="5">
        <v>1</v>
      </c>
      <c r="G311" s="5">
        <v>0</v>
      </c>
      <c r="H311" s="5">
        <v>0</v>
      </c>
      <c r="I311" s="5">
        <v>1</v>
      </c>
      <c r="J311" s="5">
        <v>0</v>
      </c>
      <c r="M311" s="6">
        <v>278</v>
      </c>
      <c r="N311" s="5">
        <v>700362.96718511812</v>
      </c>
      <c r="O311" s="7">
        <v>38185.452814881923</v>
      </c>
    </row>
    <row r="312" spans="1:15">
      <c r="A312" s="5">
        <v>536524.84</v>
      </c>
      <c r="B312" s="5">
        <v>23702.38</v>
      </c>
      <c r="C312" s="5">
        <v>5285</v>
      </c>
      <c r="D312" s="5">
        <v>79.7</v>
      </c>
      <c r="E312" s="5">
        <v>0</v>
      </c>
      <c r="F312" s="5">
        <v>1</v>
      </c>
      <c r="G312" s="5">
        <v>0</v>
      </c>
      <c r="H312" s="5">
        <v>0</v>
      </c>
      <c r="I312" s="5">
        <v>1</v>
      </c>
      <c r="J312" s="5">
        <v>0</v>
      </c>
      <c r="M312" s="6">
        <v>279</v>
      </c>
      <c r="N312" s="5">
        <v>752640.09098918538</v>
      </c>
      <c r="O312" s="7">
        <v>3979.6790108146379</v>
      </c>
    </row>
    <row r="313" spans="1:15">
      <c r="A313" s="5">
        <v>621677.30000000005</v>
      </c>
      <c r="B313" s="5">
        <v>54322.94</v>
      </c>
      <c r="C313" s="5">
        <v>5434</v>
      </c>
      <c r="D313" s="5">
        <v>85.7</v>
      </c>
      <c r="E313" s="5">
        <v>0</v>
      </c>
      <c r="F313" s="5">
        <v>1</v>
      </c>
      <c r="G313" s="5">
        <v>0</v>
      </c>
      <c r="H313" s="5">
        <v>0</v>
      </c>
      <c r="I313" s="5">
        <v>1</v>
      </c>
      <c r="J313" s="5">
        <v>0</v>
      </c>
      <c r="M313" s="6">
        <v>280</v>
      </c>
      <c r="N313" s="5">
        <v>772598.10928323388</v>
      </c>
      <c r="O313" s="7">
        <v>-11475.689283233834</v>
      </c>
    </row>
    <row r="314" spans="1:15">
      <c r="A314" s="5">
        <v>771129.07</v>
      </c>
      <c r="B314" s="5">
        <v>86026.58</v>
      </c>
      <c r="C314" s="5">
        <v>7479</v>
      </c>
      <c r="D314" s="5">
        <v>89</v>
      </c>
      <c r="E314" s="5">
        <v>0</v>
      </c>
      <c r="F314" s="5">
        <v>1</v>
      </c>
      <c r="G314" s="5">
        <v>0</v>
      </c>
      <c r="H314" s="5">
        <v>0</v>
      </c>
      <c r="I314" s="5">
        <v>1</v>
      </c>
      <c r="J314" s="5">
        <v>0</v>
      </c>
      <c r="M314" s="6">
        <v>281</v>
      </c>
      <c r="N314" s="5">
        <v>576155.6484017024</v>
      </c>
      <c r="O314" s="7">
        <v>-51256.078401702456</v>
      </c>
    </row>
    <row r="315" spans="1:15">
      <c r="A315" s="5">
        <v>702052.47</v>
      </c>
      <c r="B315" s="5">
        <v>78967.520000000004</v>
      </c>
      <c r="C315" s="5">
        <v>6164</v>
      </c>
      <c r="D315" s="5">
        <v>85.5</v>
      </c>
      <c r="E315" s="5">
        <v>1</v>
      </c>
      <c r="F315" s="5">
        <v>0</v>
      </c>
      <c r="G315" s="5">
        <v>0</v>
      </c>
      <c r="H315" s="5">
        <v>0</v>
      </c>
      <c r="I315" s="5">
        <v>0</v>
      </c>
      <c r="J315" s="5">
        <v>1</v>
      </c>
      <c r="M315" s="6">
        <v>282</v>
      </c>
      <c r="N315" s="5">
        <v>588668.26778846688</v>
      </c>
      <c r="O315" s="7">
        <v>-33110.497788466862</v>
      </c>
    </row>
    <row r="316" spans="1:15">
      <c r="A316" s="5">
        <v>688368.46</v>
      </c>
      <c r="B316" s="5">
        <v>46767.99</v>
      </c>
      <c r="C316" s="5">
        <v>7973</v>
      </c>
      <c r="D316" s="5">
        <v>94.8</v>
      </c>
      <c r="E316" s="5">
        <v>1</v>
      </c>
      <c r="F316" s="5">
        <v>0</v>
      </c>
      <c r="G316" s="5">
        <v>0</v>
      </c>
      <c r="H316" s="5">
        <v>0</v>
      </c>
      <c r="I316" s="5">
        <v>0</v>
      </c>
      <c r="J316" s="5">
        <v>1</v>
      </c>
      <c r="M316" s="6">
        <v>283</v>
      </c>
      <c r="N316" s="5">
        <v>696362.18250237545</v>
      </c>
      <c r="O316" s="7">
        <v>17721.497497624601</v>
      </c>
    </row>
    <row r="317" spans="1:15">
      <c r="A317" s="5">
        <v>712375.77</v>
      </c>
      <c r="B317" s="5">
        <v>62507.16</v>
      </c>
      <c r="C317" s="5">
        <v>6000</v>
      </c>
      <c r="D317" s="5">
        <v>98.2</v>
      </c>
      <c r="E317" s="5">
        <v>1</v>
      </c>
      <c r="F317" s="5">
        <v>0</v>
      </c>
      <c r="G317" s="5">
        <v>0</v>
      </c>
      <c r="H317" s="5">
        <v>0</v>
      </c>
      <c r="I317" s="5">
        <v>0</v>
      </c>
      <c r="J317" s="5">
        <v>1</v>
      </c>
      <c r="M317" s="6">
        <v>284</v>
      </c>
      <c r="N317" s="5">
        <v>503755.35741360765</v>
      </c>
      <c r="O317" s="7">
        <v>-6315.5374136076425</v>
      </c>
    </row>
    <row r="318" spans="1:15">
      <c r="A318" s="5">
        <v>844710.67</v>
      </c>
      <c r="B318" s="5">
        <v>66456.28</v>
      </c>
      <c r="C318" s="5">
        <v>9967</v>
      </c>
      <c r="D318" s="5">
        <v>94.7</v>
      </c>
      <c r="E318" s="5">
        <v>1</v>
      </c>
      <c r="F318" s="5">
        <v>0</v>
      </c>
      <c r="G318" s="5">
        <v>0</v>
      </c>
      <c r="H318" s="5">
        <v>0</v>
      </c>
      <c r="I318" s="5">
        <v>0</v>
      </c>
      <c r="J318" s="5">
        <v>1</v>
      </c>
      <c r="M318" s="6">
        <v>285</v>
      </c>
      <c r="N318" s="5">
        <v>637107.46390905185</v>
      </c>
      <c r="O318" s="7">
        <v>-331.80390905181412</v>
      </c>
    </row>
    <row r="319" spans="1:15">
      <c r="A319" s="5">
        <v>620264.19999999995</v>
      </c>
      <c r="B319" s="5">
        <v>76614.320000000007</v>
      </c>
      <c r="C319" s="5">
        <v>5639</v>
      </c>
      <c r="D319" s="5">
        <v>92.9</v>
      </c>
      <c r="E319" s="5">
        <v>0</v>
      </c>
      <c r="F319" s="5">
        <v>0</v>
      </c>
      <c r="G319" s="5">
        <v>1</v>
      </c>
      <c r="H319" s="5">
        <v>0</v>
      </c>
      <c r="I319" s="5">
        <v>0</v>
      </c>
      <c r="J319" s="5">
        <v>1</v>
      </c>
      <c r="M319" s="6">
        <v>286</v>
      </c>
      <c r="N319" s="5">
        <v>629909.53652115655</v>
      </c>
      <c r="O319" s="7">
        <v>3099.9934788434766</v>
      </c>
    </row>
    <row r="320" spans="1:15">
      <c r="A320" s="5">
        <v>536845.42000000004</v>
      </c>
      <c r="B320" s="5">
        <v>24088.06</v>
      </c>
      <c r="C320" s="5">
        <v>3466</v>
      </c>
      <c r="D320" s="5">
        <v>88</v>
      </c>
      <c r="E320" s="5">
        <v>0</v>
      </c>
      <c r="F320" s="5">
        <v>0</v>
      </c>
      <c r="G320" s="5">
        <v>1</v>
      </c>
      <c r="H320" s="5">
        <v>0</v>
      </c>
      <c r="I320" s="5">
        <v>0</v>
      </c>
      <c r="J320" s="5">
        <v>1</v>
      </c>
      <c r="M320" s="6">
        <v>287</v>
      </c>
      <c r="N320" s="5">
        <v>600865.6714020276</v>
      </c>
      <c r="O320" s="7">
        <v>9083.3285979724023</v>
      </c>
    </row>
    <row r="321" spans="1:15">
      <c r="A321" s="5">
        <v>726776.22</v>
      </c>
      <c r="B321" s="5">
        <v>81902.58</v>
      </c>
      <c r="C321" s="5">
        <v>7775</v>
      </c>
      <c r="D321" s="5">
        <v>85.2</v>
      </c>
      <c r="E321" s="5">
        <v>0</v>
      </c>
      <c r="F321" s="5">
        <v>0</v>
      </c>
      <c r="G321" s="5">
        <v>1</v>
      </c>
      <c r="H321" s="5">
        <v>0</v>
      </c>
      <c r="I321" s="5">
        <v>0</v>
      </c>
      <c r="J321" s="5">
        <v>1</v>
      </c>
      <c r="M321" s="6">
        <v>288</v>
      </c>
      <c r="N321" s="5">
        <v>552971.21923313523</v>
      </c>
      <c r="O321" s="7">
        <v>-4867.5192331352737</v>
      </c>
    </row>
    <row r="322" spans="1:15">
      <c r="A322" s="5">
        <v>559660.84</v>
      </c>
      <c r="B322" s="5">
        <v>40553.11</v>
      </c>
      <c r="C322" s="5">
        <v>5317</v>
      </c>
      <c r="D322" s="5">
        <v>84.3</v>
      </c>
      <c r="E322" s="5">
        <v>0</v>
      </c>
      <c r="F322" s="5">
        <v>0</v>
      </c>
      <c r="G322" s="5">
        <v>1</v>
      </c>
      <c r="H322" s="5">
        <v>0</v>
      </c>
      <c r="I322" s="5">
        <v>0</v>
      </c>
      <c r="J322" s="5">
        <v>1</v>
      </c>
      <c r="M322" s="6">
        <v>289</v>
      </c>
      <c r="N322" s="5">
        <v>689110.77945193416</v>
      </c>
      <c r="O322" s="7">
        <v>40313.640548065887</v>
      </c>
    </row>
    <row r="323" spans="1:15">
      <c r="M323" s="6">
        <v>290</v>
      </c>
      <c r="N323" s="5">
        <v>712113.02884730371</v>
      </c>
      <c r="O323" s="7">
        <v>-15851.538847303716</v>
      </c>
    </row>
    <row r="324" spans="1:15">
      <c r="M324" s="6">
        <v>291</v>
      </c>
      <c r="N324" s="5">
        <v>697606.07895141642</v>
      </c>
      <c r="O324" s="7">
        <v>115710.63104858354</v>
      </c>
    </row>
    <row r="325" spans="1:15">
      <c r="M325" s="6">
        <v>292</v>
      </c>
      <c r="N325" s="5">
        <v>694107.47933148732</v>
      </c>
      <c r="O325" s="7">
        <v>7961.4406685127178</v>
      </c>
    </row>
    <row r="326" spans="1:15">
      <c r="M326" s="6">
        <v>293</v>
      </c>
      <c r="N326" s="5">
        <v>586629.92183016066</v>
      </c>
      <c r="O326" s="7">
        <v>-40406.221830160706</v>
      </c>
    </row>
    <row r="327" spans="1:15">
      <c r="M327" s="6">
        <v>294</v>
      </c>
      <c r="N327" s="5">
        <v>528441.7151854923</v>
      </c>
      <c r="O327" s="7">
        <v>4679.5448145077098</v>
      </c>
    </row>
    <row r="328" spans="1:15">
      <c r="M328" s="6">
        <v>295</v>
      </c>
      <c r="N328" s="5">
        <v>502170.294740471</v>
      </c>
      <c r="O328" s="7">
        <v>-3199.9747404709924</v>
      </c>
    </row>
    <row r="329" spans="1:15">
      <c r="M329" s="6">
        <v>296</v>
      </c>
      <c r="N329" s="5">
        <v>469041.33751700894</v>
      </c>
      <c r="O329" s="7">
        <v>18696.922482991067</v>
      </c>
    </row>
    <row r="330" spans="1:15">
      <c r="M330" s="6">
        <v>297</v>
      </c>
      <c r="N330" s="5">
        <v>679682.92716437939</v>
      </c>
      <c r="O330" s="7">
        <v>-11223.557164379396</v>
      </c>
    </row>
    <row r="331" spans="1:15">
      <c r="M331" s="6">
        <v>298</v>
      </c>
      <c r="N331" s="5">
        <v>688954.96460514877</v>
      </c>
      <c r="O331" s="7">
        <v>74207.485394851188</v>
      </c>
    </row>
    <row r="332" spans="1:15">
      <c r="M332" s="6">
        <v>299</v>
      </c>
      <c r="N332" s="5">
        <v>630544.94758904784</v>
      </c>
      <c r="O332" s="7">
        <v>-31527.617589047877</v>
      </c>
    </row>
    <row r="333" spans="1:15">
      <c r="M333" s="6">
        <v>300</v>
      </c>
      <c r="N333" s="5">
        <v>481175.4498009198</v>
      </c>
      <c r="O333" s="7">
        <v>-79592.869800919783</v>
      </c>
    </row>
    <row r="334" spans="1:15">
      <c r="M334" s="6">
        <v>301</v>
      </c>
      <c r="N334" s="5">
        <v>728897.32370236563</v>
      </c>
      <c r="O334" s="7">
        <v>-25084.333702365635</v>
      </c>
    </row>
    <row r="335" spans="1:15">
      <c r="M335" s="6">
        <v>302</v>
      </c>
      <c r="N335" s="5">
        <v>733217.42144017958</v>
      </c>
      <c r="O335" s="7">
        <v>-8870.6914401795948</v>
      </c>
    </row>
    <row r="336" spans="1:15">
      <c r="M336" s="6">
        <v>303</v>
      </c>
      <c r="N336" s="5">
        <v>741267.24581779144</v>
      </c>
      <c r="O336" s="7">
        <v>-10377.235817791428</v>
      </c>
    </row>
    <row r="337" spans="13:15">
      <c r="M337" s="6">
        <v>304</v>
      </c>
      <c r="N337" s="5">
        <v>730495.30028815789</v>
      </c>
      <c r="O337" s="7">
        <v>50085.649711842067</v>
      </c>
    </row>
    <row r="338" spans="13:15">
      <c r="M338" s="6">
        <v>305</v>
      </c>
      <c r="N338" s="5">
        <v>689393.91567514325</v>
      </c>
      <c r="O338" s="7">
        <v>38563.564324856736</v>
      </c>
    </row>
    <row r="339" spans="13:15">
      <c r="M339" s="6">
        <v>306</v>
      </c>
      <c r="N339" s="5">
        <v>631710.93003661511</v>
      </c>
      <c r="O339" s="7">
        <v>-93334.930036615115</v>
      </c>
    </row>
    <row r="340" spans="13:15">
      <c r="M340" s="6">
        <v>307</v>
      </c>
      <c r="N340" s="5">
        <v>617343.81353173673</v>
      </c>
      <c r="O340" s="7">
        <v>47998.676468263264</v>
      </c>
    </row>
    <row r="341" spans="13:15">
      <c r="M341" s="6">
        <v>308</v>
      </c>
      <c r="N341" s="5">
        <v>704965.01571723807</v>
      </c>
      <c r="O341" s="7">
        <v>-53800.83571723802</v>
      </c>
    </row>
    <row r="342" spans="13:15">
      <c r="M342" s="6">
        <v>309</v>
      </c>
      <c r="N342" s="5">
        <v>651296.71477667917</v>
      </c>
      <c r="O342" s="7">
        <v>-22758.414776679128</v>
      </c>
    </row>
    <row r="343" spans="13:15">
      <c r="M343" s="6">
        <v>310</v>
      </c>
      <c r="N343" s="5">
        <v>582721.68292148213</v>
      </c>
      <c r="O343" s="7">
        <v>-46196.842921482166</v>
      </c>
    </row>
    <row r="344" spans="13:15">
      <c r="M344" s="6">
        <v>311</v>
      </c>
      <c r="N344" s="5">
        <v>641922.60499357572</v>
      </c>
      <c r="O344" s="7">
        <v>-20245.304993575672</v>
      </c>
    </row>
    <row r="345" spans="13:15">
      <c r="M345" s="6">
        <v>312</v>
      </c>
      <c r="N345" s="5">
        <v>758613.38838839368</v>
      </c>
      <c r="O345" s="7">
        <v>12515.681611606269</v>
      </c>
    </row>
    <row r="346" spans="13:15">
      <c r="M346" s="6">
        <v>313</v>
      </c>
      <c r="N346" s="5">
        <v>666868.43107661791</v>
      </c>
      <c r="O346" s="7">
        <v>35184.038923382061</v>
      </c>
    </row>
    <row r="347" spans="13:15">
      <c r="M347" s="6">
        <v>314</v>
      </c>
      <c r="N347" s="5">
        <v>717396.0820642492</v>
      </c>
      <c r="O347" s="7">
        <v>-29027.622064249241</v>
      </c>
    </row>
    <row r="348" spans="13:15">
      <c r="M348" s="6">
        <v>315</v>
      </c>
      <c r="N348" s="5">
        <v>679362.75920876476</v>
      </c>
      <c r="O348" s="7">
        <v>33013.010791235254</v>
      </c>
    </row>
    <row r="349" spans="13:15">
      <c r="M349" s="6">
        <v>316</v>
      </c>
      <c r="N349" s="5">
        <v>808013.1580458869</v>
      </c>
      <c r="O349" s="7">
        <v>36697.511954113143</v>
      </c>
    </row>
    <row r="350" spans="13:15">
      <c r="M350" s="6">
        <v>317</v>
      </c>
      <c r="N350" s="5">
        <v>659850.45682869852</v>
      </c>
      <c r="O350" s="7">
        <v>-39586.256828698562</v>
      </c>
    </row>
    <row r="351" spans="13:15">
      <c r="M351" s="6">
        <v>318</v>
      </c>
      <c r="N351" s="5">
        <v>509342.85821949085</v>
      </c>
      <c r="O351" s="7">
        <v>27502.56178050919</v>
      </c>
    </row>
    <row r="352" spans="13:15">
      <c r="M352" s="6">
        <v>319</v>
      </c>
      <c r="N352" s="5">
        <v>715657.57913241792</v>
      </c>
      <c r="O352" s="7">
        <v>11118.640867582057</v>
      </c>
    </row>
    <row r="353" spans="13:15" ht="15" thickBot="1">
      <c r="M353" s="8">
        <v>320</v>
      </c>
      <c r="N353" s="9">
        <v>580627.04372952168</v>
      </c>
      <c r="O353" s="10">
        <v>-20966.203729521716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4D00-EEF7-49C7-B6DF-697FC797BC0D}">
  <dimension ref="A1:M321"/>
  <sheetViews>
    <sheetView topLeftCell="D1" zoomScale="70" zoomScaleNormal="70" workbookViewId="0">
      <selection activeCell="H29" sqref="H29"/>
    </sheetView>
  </sheetViews>
  <sheetFormatPr defaultRowHeight="14.5"/>
  <cols>
    <col min="1" max="1" width="27.453125" customWidth="1"/>
    <col min="2" max="2" width="14" customWidth="1"/>
    <col min="3" max="3" width="26.54296875" customWidth="1"/>
    <col min="4" max="4" width="14.26953125" customWidth="1"/>
    <col min="5" max="5" width="18.26953125" customWidth="1"/>
    <col min="6" max="6" width="20.36328125" customWidth="1"/>
    <col min="7" max="7" width="16" customWidth="1"/>
    <col min="8" max="8" width="22.08984375" customWidth="1"/>
    <col min="9" max="9" width="18.36328125" customWidth="1"/>
    <col min="10" max="10" width="34.90625" customWidth="1"/>
    <col min="11" max="11" width="26.81640625" customWidth="1"/>
    <col min="12" max="12" width="22.36328125" customWidth="1"/>
    <col min="13" max="13" width="29.81640625" customWidth="1"/>
    <col min="16" max="16" width="28" customWidth="1"/>
    <col min="17" max="17" width="30.36328125" customWidth="1"/>
  </cols>
  <sheetData>
    <row r="1" spans="1:13" ht="23.5" customHeight="1">
      <c r="A1" s="55" t="s">
        <v>4</v>
      </c>
      <c r="B1" s="55" t="s">
        <v>5</v>
      </c>
      <c r="C1" s="55" t="s">
        <v>8</v>
      </c>
      <c r="D1" s="55" t="s">
        <v>104</v>
      </c>
      <c r="E1" s="55" t="s">
        <v>105</v>
      </c>
      <c r="F1" s="55" t="s">
        <v>106</v>
      </c>
      <c r="G1" s="55" t="s">
        <v>109</v>
      </c>
      <c r="H1" s="55" t="s">
        <v>110</v>
      </c>
      <c r="I1" s="55" t="s">
        <v>111</v>
      </c>
      <c r="J1" s="55" t="s">
        <v>174</v>
      </c>
      <c r="K1" s="55" t="s">
        <v>172</v>
      </c>
      <c r="L1" s="55" t="s">
        <v>121</v>
      </c>
      <c r="M1" s="55" t="s">
        <v>173</v>
      </c>
    </row>
    <row r="2" spans="1:13">
      <c r="A2">
        <v>79346.100000000006</v>
      </c>
      <c r="B2">
        <v>9628</v>
      </c>
      <c r="C2">
        <v>99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685379.08</v>
      </c>
      <c r="K2">
        <f t="shared" ref="K2:K65" si="0">150574.3805
+(1.188357955*A2)
+(33.85981294*B2)
+(2961.270646*C2)
+(-10576.28618*D2)
+(1313.395721*E2)
+(-18934.81748*F2)
+(10756.80055*G2)
+(-12295.38702*H2)
+(-28871.87105*I2)</f>
        <v>851738.63555354543</v>
      </c>
      <c r="L2">
        <f t="shared" ref="L2:L65" si="1">J2-K2</f>
        <v>-166359.55555354548</v>
      </c>
      <c r="M2">
        <f t="shared" ref="M2:M65" si="2">ABS(L2)</f>
        <v>166359.55555354548</v>
      </c>
    </row>
    <row r="3" spans="1:13">
      <c r="A3">
        <v>141540.29</v>
      </c>
      <c r="B3">
        <v>5400</v>
      </c>
      <c r="C3">
        <v>87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627171.9</v>
      </c>
      <c r="K3">
        <f t="shared" si="0"/>
        <v>760561.84187350702</v>
      </c>
      <c r="L3">
        <f t="shared" si="1"/>
        <v>-133389.94187350699</v>
      </c>
      <c r="M3">
        <f t="shared" si="2"/>
        <v>133389.94187350699</v>
      </c>
    </row>
    <row r="4" spans="1:13">
      <c r="A4">
        <v>138855.51</v>
      </c>
      <c r="B4">
        <v>5145</v>
      </c>
      <c r="C4">
        <v>88.2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595467.6</v>
      </c>
      <c r="K4">
        <f t="shared" si="0"/>
        <v>722105.36790758208</v>
      </c>
      <c r="L4">
        <f t="shared" si="1"/>
        <v>-126637.76790758211</v>
      </c>
      <c r="M4">
        <f t="shared" si="2"/>
        <v>126637.76790758211</v>
      </c>
    </row>
    <row r="5" spans="1:13">
      <c r="A5">
        <v>172415.52</v>
      </c>
      <c r="B5">
        <v>8927</v>
      </c>
      <c r="C5">
        <v>86.2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800451.94</v>
      </c>
      <c r="K5">
        <f t="shared" si="0"/>
        <v>912993.8150580416</v>
      </c>
      <c r="L5">
        <f t="shared" si="1"/>
        <v>-112541.87505804165</v>
      </c>
      <c r="M5">
        <f t="shared" si="2"/>
        <v>112541.87505804165</v>
      </c>
    </row>
    <row r="6" spans="1:13">
      <c r="A6">
        <v>54597.83</v>
      </c>
      <c r="B6">
        <v>9429</v>
      </c>
      <c r="C6">
        <v>83.3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641865.03</v>
      </c>
      <c r="K6">
        <f t="shared" si="0"/>
        <v>741946.0098992975</v>
      </c>
      <c r="L6">
        <f t="shared" si="1"/>
        <v>-100080.97989929747</v>
      </c>
      <c r="M6">
        <f t="shared" si="2"/>
        <v>100080.97989929747</v>
      </c>
    </row>
    <row r="7" spans="1:13">
      <c r="A7">
        <v>53015.46</v>
      </c>
      <c r="B7">
        <v>3279</v>
      </c>
      <c r="C7">
        <v>84.3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463534.25</v>
      </c>
      <c r="K7">
        <f t="shared" si="0"/>
        <v>561941.7791970442</v>
      </c>
      <c r="L7">
        <f t="shared" si="1"/>
        <v>-98407.529197044205</v>
      </c>
      <c r="M7">
        <f t="shared" si="2"/>
        <v>98407.529197044205</v>
      </c>
    </row>
    <row r="8" spans="1:13">
      <c r="A8">
        <v>46146.239999999998</v>
      </c>
      <c r="B8">
        <v>5804</v>
      </c>
      <c r="C8">
        <v>86.9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538376</v>
      </c>
      <c r="K8">
        <f t="shared" si="0"/>
        <v>631710.93000949931</v>
      </c>
      <c r="L8">
        <f t="shared" si="1"/>
        <v>-93334.930009499309</v>
      </c>
      <c r="M8">
        <f t="shared" si="2"/>
        <v>93334.930009499309</v>
      </c>
    </row>
    <row r="9" spans="1:13">
      <c r="A9">
        <v>56856.63</v>
      </c>
      <c r="B9">
        <v>9431</v>
      </c>
      <c r="C9">
        <v>86.9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658920.30000000005</v>
      </c>
      <c r="K9">
        <f t="shared" si="0"/>
        <v>747000.03549953166</v>
      </c>
      <c r="L9">
        <f t="shared" si="1"/>
        <v>-88079.735499531613</v>
      </c>
      <c r="M9">
        <f t="shared" si="2"/>
        <v>88079.735499531613</v>
      </c>
    </row>
    <row r="10" spans="1:13">
      <c r="A10">
        <v>46495.4</v>
      </c>
      <c r="B10">
        <v>9908</v>
      </c>
      <c r="C10">
        <v>89.4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721079.35</v>
      </c>
      <c r="K10">
        <f t="shared" si="0"/>
        <v>806048.18132282689</v>
      </c>
      <c r="L10">
        <f t="shared" si="1"/>
        <v>-84968.831322826911</v>
      </c>
      <c r="M10">
        <f t="shared" si="2"/>
        <v>84968.831322826911</v>
      </c>
    </row>
    <row r="11" spans="1:13">
      <c r="A11">
        <v>48752.92</v>
      </c>
      <c r="B11">
        <v>8052</v>
      </c>
      <c r="C11">
        <v>94.9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660633.99</v>
      </c>
      <c r="K11">
        <f t="shared" si="0"/>
        <v>743239.28142975864</v>
      </c>
      <c r="L11">
        <f t="shared" si="1"/>
        <v>-82605.291429758654</v>
      </c>
      <c r="M11">
        <f t="shared" si="2"/>
        <v>82605.291429758654</v>
      </c>
    </row>
    <row r="12" spans="1:13">
      <c r="A12">
        <v>56413.83</v>
      </c>
      <c r="B12">
        <v>8303</v>
      </c>
      <c r="C12">
        <v>93.6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675917.63</v>
      </c>
      <c r="K12">
        <f t="shared" si="0"/>
        <v>756992.34597893758</v>
      </c>
      <c r="L12">
        <f t="shared" si="1"/>
        <v>-81074.715978937573</v>
      </c>
      <c r="M12">
        <f t="shared" si="2"/>
        <v>81074.715978937573</v>
      </c>
    </row>
    <row r="13" spans="1:13">
      <c r="A13">
        <v>41657.64</v>
      </c>
      <c r="B13">
        <v>3135</v>
      </c>
      <c r="C13">
        <v>85.4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449465.06</v>
      </c>
      <c r="K13">
        <f t="shared" si="0"/>
        <v>530249.72406582627</v>
      </c>
      <c r="L13">
        <f t="shared" si="1"/>
        <v>-80784.664065826277</v>
      </c>
      <c r="M13">
        <f t="shared" si="2"/>
        <v>80784.664065826277</v>
      </c>
    </row>
    <row r="14" spans="1:13">
      <c r="A14">
        <v>29344.93</v>
      </c>
      <c r="B14">
        <v>7446</v>
      </c>
      <c r="C14">
        <v>86.2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593343</v>
      </c>
      <c r="K14">
        <f t="shared" si="0"/>
        <v>673893.54086085828</v>
      </c>
      <c r="L14">
        <f t="shared" si="1"/>
        <v>-80550.54086085828</v>
      </c>
      <c r="M14">
        <f t="shared" si="2"/>
        <v>80550.54086085828</v>
      </c>
    </row>
    <row r="15" spans="1:13">
      <c r="A15">
        <v>24362.98</v>
      </c>
      <c r="B15">
        <v>1462</v>
      </c>
      <c r="C15">
        <v>89.3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401582.58</v>
      </c>
      <c r="K15">
        <f t="shared" si="0"/>
        <v>481175.44977658585</v>
      </c>
      <c r="L15">
        <f t="shared" si="1"/>
        <v>-79592.869776585838</v>
      </c>
      <c r="M15">
        <f t="shared" si="2"/>
        <v>79592.869776585838</v>
      </c>
    </row>
    <row r="16" spans="1:13">
      <c r="A16">
        <v>30356.28</v>
      </c>
      <c r="B16">
        <v>2822</v>
      </c>
      <c r="C16">
        <v>84.8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415721.82</v>
      </c>
      <c r="K16">
        <f t="shared" si="0"/>
        <v>493868.49298968737</v>
      </c>
      <c r="L16">
        <f t="shared" si="1"/>
        <v>-78146.672989687358</v>
      </c>
      <c r="M16">
        <f t="shared" si="2"/>
        <v>78146.672989687358</v>
      </c>
    </row>
    <row r="17" spans="1:13">
      <c r="A17">
        <v>62949.7</v>
      </c>
      <c r="B17">
        <v>9458</v>
      </c>
      <c r="C17">
        <v>84.9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691288.19</v>
      </c>
      <c r="K17">
        <f t="shared" si="0"/>
        <v>765808.94139178353</v>
      </c>
      <c r="L17">
        <f t="shared" si="1"/>
        <v>-74520.751391783589</v>
      </c>
      <c r="M17">
        <f t="shared" si="2"/>
        <v>74520.751391783589</v>
      </c>
    </row>
    <row r="18" spans="1:13">
      <c r="A18">
        <v>71320.66</v>
      </c>
      <c r="B18">
        <v>7888</v>
      </c>
      <c r="C18">
        <v>78.099999999999994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633638.03</v>
      </c>
      <c r="K18">
        <f t="shared" si="0"/>
        <v>706131.82076117035</v>
      </c>
      <c r="L18">
        <f t="shared" si="1"/>
        <v>-72493.790761170327</v>
      </c>
      <c r="M18">
        <f t="shared" si="2"/>
        <v>72493.790761170327</v>
      </c>
    </row>
    <row r="19" spans="1:13">
      <c r="A19">
        <v>61784.11</v>
      </c>
      <c r="B19">
        <v>8564</v>
      </c>
      <c r="C19">
        <v>87.4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673076.34</v>
      </c>
      <c r="K19">
        <f t="shared" si="0"/>
        <v>745228.03626065515</v>
      </c>
      <c r="L19">
        <f t="shared" si="1"/>
        <v>-72151.696260655182</v>
      </c>
      <c r="M19">
        <f t="shared" si="2"/>
        <v>72151.696260655182</v>
      </c>
    </row>
    <row r="20" spans="1:13">
      <c r="A20">
        <v>33605.18</v>
      </c>
      <c r="B20">
        <v>9225</v>
      </c>
      <c r="C20">
        <v>88.4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697287.9</v>
      </c>
      <c r="K20">
        <f t="shared" si="0"/>
        <v>764642.46296010679</v>
      </c>
      <c r="L20">
        <f t="shared" si="1"/>
        <v>-67354.562960106763</v>
      </c>
      <c r="M20">
        <f t="shared" si="2"/>
        <v>67354.562960106763</v>
      </c>
    </row>
    <row r="21" spans="1:13">
      <c r="A21">
        <v>37983.35</v>
      </c>
      <c r="B21">
        <v>9283</v>
      </c>
      <c r="C21">
        <v>83.2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671868.59</v>
      </c>
      <c r="K21">
        <f t="shared" si="0"/>
        <v>737475.74041926931</v>
      </c>
      <c r="L21">
        <f t="shared" si="1"/>
        <v>-65607.150419269339</v>
      </c>
      <c r="M21">
        <f t="shared" si="2"/>
        <v>65607.150419269339</v>
      </c>
    </row>
    <row r="22" spans="1:13">
      <c r="A22">
        <v>59921.75</v>
      </c>
      <c r="B22">
        <v>9113</v>
      </c>
      <c r="C22">
        <v>88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678722.06</v>
      </c>
      <c r="K22">
        <f t="shared" si="0"/>
        <v>743132.47243024129</v>
      </c>
      <c r="L22">
        <f t="shared" si="1"/>
        <v>-64410.412430241238</v>
      </c>
      <c r="M22">
        <f t="shared" si="2"/>
        <v>64410.412430241238</v>
      </c>
    </row>
    <row r="23" spans="1:13">
      <c r="A23">
        <v>19063.48</v>
      </c>
      <c r="B23">
        <v>1906</v>
      </c>
      <c r="C23">
        <v>97.8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441275.42</v>
      </c>
      <c r="K23">
        <f t="shared" si="0"/>
        <v>504506.01805042342</v>
      </c>
      <c r="L23">
        <f t="shared" si="1"/>
        <v>-63230.598050423432</v>
      </c>
      <c r="M23">
        <f t="shared" si="2"/>
        <v>63230.598050423432</v>
      </c>
    </row>
    <row r="24" spans="1:13">
      <c r="A24">
        <v>42415.47</v>
      </c>
      <c r="B24">
        <v>8512</v>
      </c>
      <c r="C24">
        <v>96.8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684217.32</v>
      </c>
      <c r="K24">
        <f t="shared" si="0"/>
        <v>746972.99691764382</v>
      </c>
      <c r="L24">
        <f t="shared" si="1"/>
        <v>-62755.676917643868</v>
      </c>
      <c r="M24">
        <f t="shared" si="2"/>
        <v>62755.676917643868</v>
      </c>
    </row>
    <row r="25" spans="1:13">
      <c r="A25">
        <v>52952.12</v>
      </c>
      <c r="B25">
        <v>4377</v>
      </c>
      <c r="C25">
        <v>88.6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553756.43000000005</v>
      </c>
      <c r="K25">
        <f t="shared" si="0"/>
        <v>615895.41708009457</v>
      </c>
      <c r="L25">
        <f t="shared" si="1"/>
        <v>-62138.987080094521</v>
      </c>
      <c r="M25">
        <f t="shared" si="2"/>
        <v>62138.987080094521</v>
      </c>
    </row>
    <row r="26" spans="1:13">
      <c r="A26">
        <v>118910.48</v>
      </c>
      <c r="B26">
        <v>4022</v>
      </c>
      <c r="C26">
        <v>87.1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617291.15</v>
      </c>
      <c r="K26">
        <f t="shared" si="0"/>
        <v>677815.41932214843</v>
      </c>
      <c r="L26">
        <f t="shared" si="1"/>
        <v>-60524.269322148408</v>
      </c>
      <c r="M26">
        <f t="shared" si="2"/>
        <v>60524.269322148408</v>
      </c>
    </row>
    <row r="27" spans="1:13">
      <c r="A27">
        <v>68600.62</v>
      </c>
      <c r="B27">
        <v>3988</v>
      </c>
      <c r="C27">
        <v>85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511844.41</v>
      </c>
      <c r="K27">
        <f t="shared" si="0"/>
        <v>571030.72337965213</v>
      </c>
      <c r="L27">
        <f t="shared" si="1"/>
        <v>-59186.313379652158</v>
      </c>
      <c r="M27">
        <f t="shared" si="2"/>
        <v>59186.313379652158</v>
      </c>
    </row>
    <row r="28" spans="1:13">
      <c r="A28">
        <v>50735.63</v>
      </c>
      <c r="B28">
        <v>9619</v>
      </c>
      <c r="C28">
        <v>93.8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725235.28</v>
      </c>
      <c r="K28">
        <f t="shared" si="0"/>
        <v>783100.99277709657</v>
      </c>
      <c r="L28">
        <f t="shared" si="1"/>
        <v>-57865.712777096545</v>
      </c>
      <c r="M28">
        <f t="shared" si="2"/>
        <v>57865.712777096545</v>
      </c>
    </row>
    <row r="29" spans="1:13">
      <c r="A29">
        <v>43827.89</v>
      </c>
      <c r="B29">
        <v>8487</v>
      </c>
      <c r="C29">
        <v>84.4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634436</v>
      </c>
      <c r="K29">
        <f t="shared" si="0"/>
        <v>692150.38864654501</v>
      </c>
      <c r="L29">
        <f t="shared" si="1"/>
        <v>-57714.388646545005</v>
      </c>
      <c r="M29">
        <f t="shared" si="2"/>
        <v>57714.388646545005</v>
      </c>
    </row>
    <row r="30" spans="1:13">
      <c r="A30">
        <v>41443.410000000003</v>
      </c>
      <c r="B30">
        <v>7455</v>
      </c>
      <c r="C30">
        <v>90.1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>
        <v>650480.06000000006</v>
      </c>
      <c r="K30">
        <f t="shared" si="0"/>
        <v>708077.38582912658</v>
      </c>
      <c r="L30">
        <f t="shared" si="1"/>
        <v>-57597.325829126523</v>
      </c>
      <c r="M30">
        <f t="shared" si="2"/>
        <v>57597.325829126523</v>
      </c>
    </row>
    <row r="31" spans="1:13">
      <c r="A31">
        <v>69816.350000000006</v>
      </c>
      <c r="B31">
        <v>971</v>
      </c>
      <c r="C31">
        <v>89.9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427917.38</v>
      </c>
      <c r="K31">
        <f t="shared" si="0"/>
        <v>484830.61632170423</v>
      </c>
      <c r="L31">
        <f t="shared" si="1"/>
        <v>-56913.236321704229</v>
      </c>
      <c r="M31">
        <f t="shared" si="2"/>
        <v>56913.236321704229</v>
      </c>
    </row>
    <row r="32" spans="1:13">
      <c r="A32">
        <v>22071.64</v>
      </c>
      <c r="B32">
        <v>1814</v>
      </c>
      <c r="C32">
        <v>81.099999999999994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400831.65</v>
      </c>
      <c r="K32">
        <f t="shared" si="0"/>
        <v>455512.46633765619</v>
      </c>
      <c r="L32">
        <f t="shared" si="1"/>
        <v>-54680.816337656172</v>
      </c>
      <c r="M32">
        <f t="shared" si="2"/>
        <v>54680.816337656172</v>
      </c>
    </row>
    <row r="33" spans="1:13">
      <c r="A33">
        <v>60684.05</v>
      </c>
      <c r="B33">
        <v>6399</v>
      </c>
      <c r="C33">
        <v>99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651164.18000000005</v>
      </c>
      <c r="K33">
        <f t="shared" si="0"/>
        <v>704965.01568717777</v>
      </c>
      <c r="L33">
        <f t="shared" si="1"/>
        <v>-53800.835687177721</v>
      </c>
      <c r="M33">
        <f t="shared" si="2"/>
        <v>53800.835687177721</v>
      </c>
    </row>
    <row r="34" spans="1:13">
      <c r="A34">
        <v>32834.480000000003</v>
      </c>
      <c r="B34">
        <v>7576</v>
      </c>
      <c r="C34">
        <v>84.1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593637.14</v>
      </c>
      <c r="K34">
        <f t="shared" si="0"/>
        <v>647351.61163832841</v>
      </c>
      <c r="L34">
        <f t="shared" si="1"/>
        <v>-53714.471638328396</v>
      </c>
      <c r="M34">
        <f t="shared" si="2"/>
        <v>53714.471638328396</v>
      </c>
    </row>
    <row r="35" spans="1:13">
      <c r="A35">
        <v>45940.39</v>
      </c>
      <c r="B35">
        <v>4022</v>
      </c>
      <c r="C35">
        <v>83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524899.56999999995</v>
      </c>
      <c r="K35">
        <f t="shared" si="0"/>
        <v>576155.64837598242</v>
      </c>
      <c r="L35">
        <f t="shared" si="1"/>
        <v>-51256.07837598247</v>
      </c>
      <c r="M35">
        <f t="shared" si="2"/>
        <v>51256.07837598247</v>
      </c>
    </row>
    <row r="36" spans="1:13">
      <c r="A36">
        <v>36290.080000000002</v>
      </c>
      <c r="B36">
        <v>5787</v>
      </c>
      <c r="C36">
        <v>88.3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  <c r="J36">
        <v>612390.14</v>
      </c>
      <c r="K36">
        <f t="shared" si="0"/>
        <v>663197.11755216646</v>
      </c>
      <c r="L36">
        <f t="shared" si="1"/>
        <v>-50806.977552166441</v>
      </c>
      <c r="M36">
        <f t="shared" si="2"/>
        <v>50806.977552166441</v>
      </c>
    </row>
    <row r="37" spans="1:13">
      <c r="A37">
        <v>25990.54</v>
      </c>
      <c r="B37">
        <v>9249</v>
      </c>
      <c r="C37">
        <v>92.5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718074.79</v>
      </c>
      <c r="K37">
        <f t="shared" si="0"/>
        <v>768547.39010080555</v>
      </c>
      <c r="L37">
        <f t="shared" si="1"/>
        <v>-50472.600100805517</v>
      </c>
      <c r="M37">
        <f t="shared" si="2"/>
        <v>50472.600100805517</v>
      </c>
    </row>
    <row r="38" spans="1:13">
      <c r="A38">
        <v>35203.230000000003</v>
      </c>
      <c r="B38">
        <v>6896</v>
      </c>
      <c r="C38">
        <v>80.8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607084.92000000004</v>
      </c>
      <c r="K38">
        <f t="shared" si="0"/>
        <v>656998.34021323477</v>
      </c>
      <c r="L38">
        <f t="shared" si="1"/>
        <v>-49913.420213234727</v>
      </c>
      <c r="M38">
        <f t="shared" si="2"/>
        <v>49913.420213234727</v>
      </c>
    </row>
    <row r="39" spans="1:13">
      <c r="A39">
        <v>37324.230000000003</v>
      </c>
      <c r="B39">
        <v>5957</v>
      </c>
      <c r="C39">
        <v>85.9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570963.31000000006</v>
      </c>
      <c r="K39">
        <f t="shared" si="0"/>
        <v>619774.7758097297</v>
      </c>
      <c r="L39">
        <f t="shared" si="1"/>
        <v>-48811.465809729649</v>
      </c>
      <c r="M39">
        <f t="shared" si="2"/>
        <v>48811.465809729649</v>
      </c>
    </row>
    <row r="40" spans="1:13">
      <c r="A40">
        <v>48412.639999999999</v>
      </c>
      <c r="B40">
        <v>9545</v>
      </c>
      <c r="C40">
        <v>97.6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741341.44</v>
      </c>
      <c r="K40">
        <f t="shared" si="0"/>
        <v>789087.6514284513</v>
      </c>
      <c r="L40">
        <f t="shared" si="1"/>
        <v>-47746.211428451352</v>
      </c>
      <c r="M40">
        <f t="shared" si="2"/>
        <v>47746.211428451352</v>
      </c>
    </row>
    <row r="41" spans="1:13">
      <c r="A41">
        <v>70276.28</v>
      </c>
      <c r="B41">
        <v>3043</v>
      </c>
      <c r="C41">
        <v>87.9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527300.13</v>
      </c>
      <c r="K41">
        <f t="shared" si="0"/>
        <v>574547.18424562737</v>
      </c>
      <c r="L41">
        <f t="shared" si="1"/>
        <v>-47247.054245627369</v>
      </c>
      <c r="M41">
        <f t="shared" si="2"/>
        <v>47247.054245627369</v>
      </c>
    </row>
    <row r="42" spans="1:13">
      <c r="A42">
        <v>53762.92</v>
      </c>
      <c r="B42">
        <v>6821</v>
      </c>
      <c r="C42">
        <v>94.6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630829.93999999994</v>
      </c>
      <c r="K42">
        <f t="shared" si="0"/>
        <v>677751.27281136857</v>
      </c>
      <c r="L42">
        <f t="shared" si="1"/>
        <v>-46921.332811368629</v>
      </c>
      <c r="M42">
        <f t="shared" si="2"/>
        <v>46921.332811368629</v>
      </c>
    </row>
    <row r="43" spans="1:13">
      <c r="A43">
        <v>43896.13</v>
      </c>
      <c r="B43">
        <v>3853</v>
      </c>
      <c r="C43">
        <v>83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509484.81</v>
      </c>
      <c r="K43">
        <f t="shared" si="0"/>
        <v>556114.34545503405</v>
      </c>
      <c r="L43">
        <f t="shared" si="1"/>
        <v>-46629.535455034056</v>
      </c>
      <c r="M43">
        <f t="shared" si="2"/>
        <v>46629.535455034056</v>
      </c>
    </row>
    <row r="44" spans="1:13">
      <c r="A44">
        <v>23702.38</v>
      </c>
      <c r="B44">
        <v>5285</v>
      </c>
      <c r="C44">
        <v>79.7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536524.84</v>
      </c>
      <c r="K44">
        <f t="shared" si="0"/>
        <v>582721.68290053296</v>
      </c>
      <c r="L44">
        <f t="shared" si="1"/>
        <v>-46196.842900532996</v>
      </c>
      <c r="M44">
        <f t="shared" si="2"/>
        <v>46196.842900532996</v>
      </c>
    </row>
    <row r="45" spans="1:13">
      <c r="A45">
        <v>73771.91</v>
      </c>
      <c r="B45">
        <v>11695</v>
      </c>
      <c r="C45">
        <v>84.7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799477.76000000001</v>
      </c>
      <c r="K45">
        <f t="shared" si="0"/>
        <v>845603.79542354401</v>
      </c>
      <c r="L45">
        <f t="shared" si="1"/>
        <v>-46126.035423544003</v>
      </c>
      <c r="M45">
        <f t="shared" si="2"/>
        <v>46126.035423544003</v>
      </c>
    </row>
    <row r="46" spans="1:13">
      <c r="A46">
        <v>61245.41</v>
      </c>
      <c r="B46">
        <v>8156</v>
      </c>
      <c r="C46">
        <v>92.9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718330.53</v>
      </c>
      <c r="K46">
        <f t="shared" si="0"/>
        <v>764042.24185277638</v>
      </c>
      <c r="L46">
        <f t="shared" si="1"/>
        <v>-45711.711852776352</v>
      </c>
      <c r="M46">
        <f t="shared" si="2"/>
        <v>45711.711852776352</v>
      </c>
    </row>
    <row r="47" spans="1:13">
      <c r="A47">
        <v>27808.6</v>
      </c>
      <c r="B47">
        <v>2863</v>
      </c>
      <c r="C47">
        <v>89.3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487464.91</v>
      </c>
      <c r="K47">
        <f t="shared" si="0"/>
        <v>532707.67764243297</v>
      </c>
      <c r="L47">
        <f t="shared" si="1"/>
        <v>-45242.767642432998</v>
      </c>
      <c r="M47">
        <f t="shared" si="2"/>
        <v>45242.767642432998</v>
      </c>
    </row>
    <row r="48" spans="1:13">
      <c r="A48">
        <v>81796.740000000005</v>
      </c>
      <c r="B48">
        <v>6177</v>
      </c>
      <c r="C48">
        <v>87.9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643428.85</v>
      </c>
      <c r="K48">
        <f t="shared" si="0"/>
        <v>688354.07043584681</v>
      </c>
      <c r="L48">
        <f t="shared" si="1"/>
        <v>-44925.22043584683</v>
      </c>
      <c r="M48">
        <f t="shared" si="2"/>
        <v>44925.22043584683</v>
      </c>
    </row>
    <row r="49" spans="1:13">
      <c r="A49">
        <v>54966.18</v>
      </c>
      <c r="B49">
        <v>4423</v>
      </c>
      <c r="C49">
        <v>88.7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554012.06999999995</v>
      </c>
      <c r="K49">
        <f t="shared" si="0"/>
        <v>597090.33219278185</v>
      </c>
      <c r="L49">
        <f t="shared" si="1"/>
        <v>-43078.262192781898</v>
      </c>
      <c r="M49">
        <f t="shared" si="2"/>
        <v>43078.262192781898</v>
      </c>
    </row>
    <row r="50" spans="1:13">
      <c r="A50">
        <v>41863.08</v>
      </c>
      <c r="B50">
        <v>5400</v>
      </c>
      <c r="C50">
        <v>91.6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602002.31999999995</v>
      </c>
      <c r="K50">
        <f t="shared" si="0"/>
        <v>643841.79950840131</v>
      </c>
      <c r="L50">
        <f t="shared" si="1"/>
        <v>-41839.47950840136</v>
      </c>
      <c r="M50">
        <f t="shared" si="2"/>
        <v>41839.47950840136</v>
      </c>
    </row>
    <row r="51" spans="1:13">
      <c r="A51">
        <v>63630.21</v>
      </c>
      <c r="B51">
        <v>4460</v>
      </c>
      <c r="C51">
        <v>98.6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599603.4</v>
      </c>
      <c r="K51">
        <f t="shared" si="0"/>
        <v>640314.02708982059</v>
      </c>
      <c r="L51">
        <f t="shared" si="1"/>
        <v>-40710.627089820569</v>
      </c>
      <c r="M51">
        <f t="shared" si="2"/>
        <v>40710.627089820569</v>
      </c>
    </row>
    <row r="52" spans="1:13">
      <c r="A52">
        <v>51575.68</v>
      </c>
      <c r="B52">
        <v>5329</v>
      </c>
      <c r="C52">
        <v>88.1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614024.91</v>
      </c>
      <c r="K52">
        <f t="shared" si="0"/>
        <v>654505.03290339443</v>
      </c>
      <c r="L52">
        <f t="shared" si="1"/>
        <v>-40480.122903394396</v>
      </c>
      <c r="M52">
        <f t="shared" si="2"/>
        <v>40480.122903394396</v>
      </c>
    </row>
    <row r="53" spans="1:13">
      <c r="A53">
        <v>34285.21</v>
      </c>
      <c r="B53">
        <v>9172</v>
      </c>
      <c r="C53">
        <v>88.3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723060.76</v>
      </c>
      <c r="K53">
        <f t="shared" si="0"/>
        <v>763540.39923982543</v>
      </c>
      <c r="L53">
        <f t="shared" si="1"/>
        <v>-40479.639239825425</v>
      </c>
      <c r="M53">
        <f t="shared" si="2"/>
        <v>40479.639239825425</v>
      </c>
    </row>
    <row r="54" spans="1:13">
      <c r="A54">
        <v>51996.32</v>
      </c>
      <c r="B54">
        <v>3834</v>
      </c>
      <c r="C54">
        <v>86.7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546223.69999999995</v>
      </c>
      <c r="K54">
        <f t="shared" si="0"/>
        <v>586629.9218028856</v>
      </c>
      <c r="L54">
        <f t="shared" si="1"/>
        <v>-40406.221802885644</v>
      </c>
      <c r="M54">
        <f t="shared" si="2"/>
        <v>40406.221802885644</v>
      </c>
    </row>
    <row r="55" spans="1:13">
      <c r="A55">
        <v>76614.320000000007</v>
      </c>
      <c r="B55">
        <v>5639</v>
      </c>
      <c r="C55">
        <v>92.9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620264.19999999995</v>
      </c>
      <c r="K55">
        <f t="shared" si="0"/>
        <v>659850.45679097564</v>
      </c>
      <c r="L55">
        <f t="shared" si="1"/>
        <v>-39586.256790975691</v>
      </c>
      <c r="M55">
        <f t="shared" si="2"/>
        <v>39586.256790975691</v>
      </c>
    </row>
    <row r="56" spans="1:13">
      <c r="A56">
        <v>88443.77</v>
      </c>
      <c r="B56">
        <v>4004</v>
      </c>
      <c r="C56">
        <v>91.9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611766.72</v>
      </c>
      <c r="K56">
        <f t="shared" si="0"/>
        <v>651097.31450885034</v>
      </c>
      <c r="L56">
        <f t="shared" si="1"/>
        <v>-39330.594508850365</v>
      </c>
      <c r="M56">
        <f t="shared" si="2"/>
        <v>39330.594508850365</v>
      </c>
    </row>
    <row r="57" spans="1:13">
      <c r="A57">
        <v>77999.899999999994</v>
      </c>
      <c r="B57">
        <v>5974</v>
      </c>
      <c r="C57">
        <v>81.3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  <c r="J57">
        <v>636561.34</v>
      </c>
      <c r="K57">
        <f t="shared" si="0"/>
        <v>675314.01687856449</v>
      </c>
      <c r="L57">
        <f t="shared" si="1"/>
        <v>-38752.676878564525</v>
      </c>
      <c r="M57">
        <f t="shared" si="2"/>
        <v>38752.676878564525</v>
      </c>
    </row>
    <row r="58" spans="1:13">
      <c r="A58">
        <v>61433.84</v>
      </c>
      <c r="B58">
        <v>7745</v>
      </c>
      <c r="C58">
        <v>90.5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685830.24</v>
      </c>
      <c r="K58">
        <f t="shared" si="0"/>
        <v>722588.81315349718</v>
      </c>
      <c r="L58">
        <f t="shared" si="1"/>
        <v>-36758.573153497186</v>
      </c>
      <c r="M58">
        <f t="shared" si="2"/>
        <v>36758.573153497186</v>
      </c>
    </row>
    <row r="59" spans="1:13">
      <c r="A59">
        <v>63101.59</v>
      </c>
      <c r="B59">
        <v>4373</v>
      </c>
      <c r="C59">
        <v>90.4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586626.93999999994</v>
      </c>
      <c r="K59">
        <f t="shared" si="0"/>
        <v>622394.66785466846</v>
      </c>
      <c r="L59">
        <f t="shared" si="1"/>
        <v>-35767.727854668512</v>
      </c>
      <c r="M59">
        <f t="shared" si="2"/>
        <v>35767.727854668512</v>
      </c>
    </row>
    <row r="60" spans="1:13">
      <c r="A60">
        <v>55716.82</v>
      </c>
      <c r="B60">
        <v>10054</v>
      </c>
      <c r="C60">
        <v>84.9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726606.28</v>
      </c>
      <c r="K60">
        <f t="shared" si="0"/>
        <v>760817.65538846317</v>
      </c>
      <c r="L60">
        <f t="shared" si="1"/>
        <v>-34211.375388463144</v>
      </c>
      <c r="M60">
        <f t="shared" si="2"/>
        <v>34211.375388463144</v>
      </c>
    </row>
    <row r="61" spans="1:13">
      <c r="A61">
        <v>64104.28</v>
      </c>
      <c r="B61">
        <v>6015</v>
      </c>
      <c r="C61">
        <v>88.7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650795.49</v>
      </c>
      <c r="K61">
        <f t="shared" si="0"/>
        <v>684906.67579184752</v>
      </c>
      <c r="L61">
        <f t="shared" si="1"/>
        <v>-34111.185791847529</v>
      </c>
      <c r="M61">
        <f t="shared" si="2"/>
        <v>34111.185791847529</v>
      </c>
    </row>
    <row r="62" spans="1:13">
      <c r="A62">
        <v>57696.69</v>
      </c>
      <c r="B62">
        <v>10218</v>
      </c>
      <c r="C62">
        <v>94.8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811771.14</v>
      </c>
      <c r="K62">
        <f t="shared" si="0"/>
        <v>845846.72690038895</v>
      </c>
      <c r="L62">
        <f t="shared" si="1"/>
        <v>-34075.586900388938</v>
      </c>
      <c r="M62">
        <f t="shared" si="2"/>
        <v>34075.586900388938</v>
      </c>
    </row>
    <row r="63" spans="1:13">
      <c r="A63">
        <v>46624.05</v>
      </c>
      <c r="B63">
        <v>5104</v>
      </c>
      <c r="C63">
        <v>97.3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622811.74</v>
      </c>
      <c r="K63">
        <f t="shared" si="0"/>
        <v>656356.27413337771</v>
      </c>
      <c r="L63">
        <f t="shared" si="1"/>
        <v>-33544.534133377718</v>
      </c>
      <c r="M63">
        <f t="shared" si="2"/>
        <v>33544.534133377718</v>
      </c>
    </row>
    <row r="64" spans="1:13">
      <c r="A64">
        <v>33173.949999999997</v>
      </c>
      <c r="B64">
        <v>6545</v>
      </c>
      <c r="C64">
        <v>84.4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596969.27</v>
      </c>
      <c r="K64">
        <f t="shared" si="0"/>
        <v>630310.42159597226</v>
      </c>
      <c r="L64">
        <f t="shared" si="1"/>
        <v>-33341.151595972246</v>
      </c>
      <c r="M64">
        <f t="shared" si="2"/>
        <v>33341.151595972246</v>
      </c>
    </row>
    <row r="65" spans="1:13">
      <c r="A65">
        <v>60881.01</v>
      </c>
      <c r="B65">
        <v>5410</v>
      </c>
      <c r="C65">
        <v>83.9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621369.57999999996</v>
      </c>
      <c r="K65">
        <f t="shared" si="0"/>
        <v>654555.00824673451</v>
      </c>
      <c r="L65">
        <f t="shared" si="1"/>
        <v>-33185.428246734547</v>
      </c>
      <c r="M65">
        <f t="shared" si="2"/>
        <v>33185.428246734547</v>
      </c>
    </row>
    <row r="66" spans="1:13">
      <c r="A66">
        <v>34771.26</v>
      </c>
      <c r="B66">
        <v>4355</v>
      </c>
      <c r="C66">
        <v>87.9</v>
      </c>
      <c r="D66">
        <v>0</v>
      </c>
      <c r="E66">
        <v>1</v>
      </c>
      <c r="F66">
        <v>0</v>
      </c>
      <c r="G66">
        <v>0</v>
      </c>
      <c r="H66">
        <v>1</v>
      </c>
      <c r="I66">
        <v>0</v>
      </c>
      <c r="J66">
        <v>555557.77</v>
      </c>
      <c r="K66">
        <f t="shared" ref="K66:K129" si="3">150574.3805
+(1.188357955*A66)
+(33.85981294*B66)
+(2961.270646*C66)
+(-10576.28618*D66)
+(1313.395721*E66)
+(-18934.81748*F66)
+(10756.80055*G66)
+(-12295.38702*H66)
+(-28871.87105*I66)</f>
        <v>588668.26776447333</v>
      </c>
      <c r="L66">
        <f t="shared" ref="L66:L129" si="4">J66-K66</f>
        <v>-33110.497764473315</v>
      </c>
      <c r="M66">
        <f t="shared" ref="M66:M129" si="5">ABS(L66)</f>
        <v>33110.497764473315</v>
      </c>
    </row>
    <row r="67" spans="1:13">
      <c r="A67">
        <v>42932.02</v>
      </c>
      <c r="B67">
        <v>3872</v>
      </c>
      <c r="C67">
        <v>83.2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527681.56000000006</v>
      </c>
      <c r="K67">
        <f t="shared" si="3"/>
        <v>560141.08396209916</v>
      </c>
      <c r="L67">
        <f t="shared" si="4"/>
        <v>-32459.523962099105</v>
      </c>
      <c r="M67">
        <f t="shared" si="5"/>
        <v>32459.523962099105</v>
      </c>
    </row>
    <row r="68" spans="1:13">
      <c r="A68">
        <v>46174.7</v>
      </c>
      <c r="B68">
        <v>4898</v>
      </c>
      <c r="C68">
        <v>91.7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599017.32999999996</v>
      </c>
      <c r="K68">
        <f t="shared" si="3"/>
        <v>630544.94756305846</v>
      </c>
      <c r="L68">
        <f t="shared" si="4"/>
        <v>-31527.617563058506</v>
      </c>
      <c r="M68">
        <f t="shared" si="5"/>
        <v>31527.617563058506</v>
      </c>
    </row>
    <row r="69" spans="1:13">
      <c r="A69">
        <v>48396.13</v>
      </c>
      <c r="B69">
        <v>4423</v>
      </c>
      <c r="C69">
        <v>85.7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557487.26</v>
      </c>
      <c r="K69">
        <f t="shared" si="3"/>
        <v>588757.48037253413</v>
      </c>
      <c r="L69">
        <f t="shared" si="4"/>
        <v>-31270.220372534124</v>
      </c>
      <c r="M69">
        <f t="shared" si="5"/>
        <v>31270.220372534124</v>
      </c>
    </row>
    <row r="70" spans="1:13">
      <c r="A70">
        <v>70389.11</v>
      </c>
      <c r="B70">
        <v>8302</v>
      </c>
      <c r="C70">
        <v>75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658832.62</v>
      </c>
      <c r="K70">
        <f t="shared" si="3"/>
        <v>689614.61626175011</v>
      </c>
      <c r="L70">
        <f t="shared" si="4"/>
        <v>-30781.996261750115</v>
      </c>
      <c r="M70">
        <f t="shared" si="5"/>
        <v>30781.996261750115</v>
      </c>
    </row>
    <row r="71" spans="1:13">
      <c r="A71">
        <v>70488.2</v>
      </c>
      <c r="B71">
        <v>4312</v>
      </c>
      <c r="C71">
        <v>90.2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577732.56999999995</v>
      </c>
      <c r="K71">
        <f t="shared" si="3"/>
        <v>608001.56214011088</v>
      </c>
      <c r="L71">
        <f t="shared" si="4"/>
        <v>-30268.992140110931</v>
      </c>
      <c r="M71">
        <f t="shared" si="5"/>
        <v>30268.992140110931</v>
      </c>
    </row>
    <row r="72" spans="1:13">
      <c r="A72">
        <v>73540.990000000005</v>
      </c>
      <c r="B72">
        <v>8773</v>
      </c>
      <c r="C72">
        <v>84.4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723531.4</v>
      </c>
      <c r="K72">
        <f t="shared" si="3"/>
        <v>753720.57793009549</v>
      </c>
      <c r="L72">
        <f t="shared" si="4"/>
        <v>-30189.177930095466</v>
      </c>
      <c r="M72">
        <f t="shared" si="5"/>
        <v>30189.177930095466</v>
      </c>
    </row>
    <row r="73" spans="1:13">
      <c r="A73">
        <v>57390.04</v>
      </c>
      <c r="B73">
        <v>7374</v>
      </c>
      <c r="C73">
        <v>91.8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679230.86</v>
      </c>
      <c r="K73">
        <f t="shared" si="3"/>
        <v>709070.99249412818</v>
      </c>
      <c r="L73">
        <f t="shared" si="4"/>
        <v>-29840.132494128193</v>
      </c>
      <c r="M73">
        <f t="shared" si="5"/>
        <v>29840.132494128193</v>
      </c>
    </row>
    <row r="74" spans="1:13">
      <c r="A74">
        <v>70040.31</v>
      </c>
      <c r="B74">
        <v>9175</v>
      </c>
      <c r="C74">
        <v>95.1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784502.68</v>
      </c>
      <c r="K74">
        <f t="shared" si="3"/>
        <v>813792.57519826596</v>
      </c>
      <c r="L74">
        <f t="shared" si="4"/>
        <v>-29289.895198265905</v>
      </c>
      <c r="M74">
        <f t="shared" si="5"/>
        <v>29289.895198265905</v>
      </c>
    </row>
    <row r="75" spans="1:13">
      <c r="A75">
        <v>72961.95</v>
      </c>
      <c r="B75">
        <v>9996</v>
      </c>
      <c r="C75">
        <v>89.1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810355.02</v>
      </c>
      <c r="K75">
        <f t="shared" si="3"/>
        <v>839591.19890165213</v>
      </c>
      <c r="L75">
        <f t="shared" si="4"/>
        <v>-29236.178901652107</v>
      </c>
      <c r="M75">
        <f t="shared" si="5"/>
        <v>29236.178901652107</v>
      </c>
    </row>
    <row r="76" spans="1:13">
      <c r="A76">
        <v>46767.99</v>
      </c>
      <c r="B76">
        <v>7973</v>
      </c>
      <c r="C76">
        <v>94.8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688368.46</v>
      </c>
      <c r="K76">
        <f t="shared" si="3"/>
        <v>717396.08203728031</v>
      </c>
      <c r="L76">
        <f t="shared" si="4"/>
        <v>-29027.622037280351</v>
      </c>
      <c r="M76">
        <f t="shared" si="5"/>
        <v>29027.622037280351</v>
      </c>
    </row>
    <row r="77" spans="1:13">
      <c r="A77">
        <v>35303.300000000003</v>
      </c>
      <c r="B77">
        <v>8789</v>
      </c>
      <c r="C77">
        <v>86.1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706285.52</v>
      </c>
      <c r="K77">
        <f t="shared" si="3"/>
        <v>734510.35026301141</v>
      </c>
      <c r="L77">
        <f t="shared" si="4"/>
        <v>-28224.83026301139</v>
      </c>
      <c r="M77">
        <f t="shared" si="5"/>
        <v>28224.83026301139</v>
      </c>
    </row>
    <row r="78" spans="1:13">
      <c r="A78">
        <v>51148.69</v>
      </c>
      <c r="B78">
        <v>7940</v>
      </c>
      <c r="C78">
        <v>93.3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717141.55</v>
      </c>
      <c r="K78">
        <f t="shared" si="3"/>
        <v>744195.41214472894</v>
      </c>
      <c r="L78">
        <f t="shared" si="4"/>
        <v>-27053.86214472889</v>
      </c>
      <c r="M78">
        <f t="shared" si="5"/>
        <v>27053.86214472889</v>
      </c>
    </row>
    <row r="79" spans="1:13">
      <c r="A79">
        <v>59060.05</v>
      </c>
      <c r="B79">
        <v>9702</v>
      </c>
      <c r="C79">
        <v>80.900000000000006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761919.25</v>
      </c>
      <c r="K79">
        <f t="shared" si="3"/>
        <v>788833.56114547781</v>
      </c>
      <c r="L79">
        <f t="shared" si="4"/>
        <v>-26914.311145477812</v>
      </c>
      <c r="M79">
        <f t="shared" si="5"/>
        <v>26914.311145477812</v>
      </c>
    </row>
    <row r="80" spans="1:13">
      <c r="A80">
        <v>40647.67</v>
      </c>
      <c r="B80">
        <v>8252</v>
      </c>
      <c r="C80">
        <v>88.2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703812.99</v>
      </c>
      <c r="K80">
        <f t="shared" si="3"/>
        <v>728897.32367479475</v>
      </c>
      <c r="L80">
        <f t="shared" si="4"/>
        <v>-25084.333674794761</v>
      </c>
      <c r="M80">
        <f t="shared" si="5"/>
        <v>25084.333674794761</v>
      </c>
    </row>
    <row r="81" spans="1:13">
      <c r="A81">
        <v>68133.440000000002</v>
      </c>
      <c r="B81">
        <v>9459</v>
      </c>
      <c r="C81">
        <v>85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779010.94</v>
      </c>
      <c r="K81">
        <f t="shared" si="3"/>
        <v>803709.7858049752</v>
      </c>
      <c r="L81">
        <f t="shared" si="4"/>
        <v>-24698.845804975252</v>
      </c>
      <c r="M81">
        <f t="shared" si="5"/>
        <v>24698.845804975252</v>
      </c>
    </row>
    <row r="82" spans="1:13">
      <c r="A82">
        <v>59117.9</v>
      </c>
      <c r="B82">
        <v>4263</v>
      </c>
      <c r="C82">
        <v>87.6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573155.18999999994</v>
      </c>
      <c r="K82">
        <f t="shared" si="3"/>
        <v>597020.82307171461</v>
      </c>
      <c r="L82">
        <f t="shared" si="4"/>
        <v>-23865.633071714663</v>
      </c>
      <c r="M82">
        <f t="shared" si="5"/>
        <v>23865.633071714663</v>
      </c>
    </row>
    <row r="83" spans="1:13">
      <c r="A83">
        <v>58749.63</v>
      </c>
      <c r="B83">
        <v>8252</v>
      </c>
      <c r="C83">
        <v>85.2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680840.36</v>
      </c>
      <c r="K83">
        <f t="shared" si="3"/>
        <v>704294.7175538867</v>
      </c>
      <c r="L83">
        <f t="shared" si="4"/>
        <v>-23454.357553886715</v>
      </c>
      <c r="M83">
        <f t="shared" si="5"/>
        <v>23454.357553886715</v>
      </c>
    </row>
    <row r="84" spans="1:13">
      <c r="A84">
        <v>59405.68</v>
      </c>
      <c r="B84">
        <v>2515</v>
      </c>
      <c r="C84">
        <v>76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500298.48</v>
      </c>
      <c r="K84">
        <f t="shared" si="3"/>
        <v>523205.57461028441</v>
      </c>
      <c r="L84">
        <f t="shared" si="4"/>
        <v>-22907.094610284432</v>
      </c>
      <c r="M84">
        <f t="shared" si="5"/>
        <v>22907.094610284432</v>
      </c>
    </row>
    <row r="85" spans="1:13">
      <c r="A85">
        <v>48465.599999999999</v>
      </c>
      <c r="B85">
        <v>5759</v>
      </c>
      <c r="C85">
        <v>87.5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628538.30000000005</v>
      </c>
      <c r="K85">
        <f t="shared" si="3"/>
        <v>651296.71475130797</v>
      </c>
      <c r="L85">
        <f t="shared" si="4"/>
        <v>-22758.414751307922</v>
      </c>
      <c r="M85">
        <f t="shared" si="5"/>
        <v>22758.414751307922</v>
      </c>
    </row>
    <row r="86" spans="1:13">
      <c r="A86">
        <v>36813.449999999997</v>
      </c>
      <c r="B86">
        <v>2834</v>
      </c>
      <c r="C86">
        <v>81.8</v>
      </c>
      <c r="D86">
        <v>0</v>
      </c>
      <c r="E86">
        <v>0</v>
      </c>
      <c r="F86">
        <v>1</v>
      </c>
      <c r="G86">
        <v>0</v>
      </c>
      <c r="H86">
        <v>1</v>
      </c>
      <c r="I86">
        <v>0</v>
      </c>
      <c r="J86">
        <v>479050.5</v>
      </c>
      <c r="K86">
        <f t="shared" si="3"/>
        <v>501282.38087325467</v>
      </c>
      <c r="L86">
        <f t="shared" si="4"/>
        <v>-22231.880873254675</v>
      </c>
      <c r="M86">
        <f t="shared" si="5"/>
        <v>22231.880873254675</v>
      </c>
    </row>
    <row r="87" spans="1:13">
      <c r="A87">
        <v>54479.33</v>
      </c>
      <c r="B87">
        <v>5012</v>
      </c>
      <c r="C87">
        <v>86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578949.84</v>
      </c>
      <c r="K87">
        <f t="shared" si="3"/>
        <v>600241.82646985014</v>
      </c>
      <c r="L87">
        <f t="shared" si="4"/>
        <v>-21291.986469850177</v>
      </c>
      <c r="M87">
        <f t="shared" si="5"/>
        <v>21291.986469850177</v>
      </c>
    </row>
    <row r="88" spans="1:13">
      <c r="A88">
        <v>22312.93</v>
      </c>
      <c r="B88">
        <v>5955</v>
      </c>
      <c r="C88">
        <v>84.2</v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>
        <v>598904.9</v>
      </c>
      <c r="K88">
        <f t="shared" si="3"/>
        <v>619886.28588575823</v>
      </c>
      <c r="L88">
        <f t="shared" si="4"/>
        <v>-20981.385885758209</v>
      </c>
      <c r="M88">
        <f t="shared" si="5"/>
        <v>20981.385885758209</v>
      </c>
    </row>
    <row r="89" spans="1:13">
      <c r="A89">
        <v>40553.11</v>
      </c>
      <c r="B89">
        <v>5317</v>
      </c>
      <c r="C89">
        <v>84.3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559660.84</v>
      </c>
      <c r="K89">
        <f t="shared" si="3"/>
        <v>580627.04369827011</v>
      </c>
      <c r="L89">
        <f t="shared" si="4"/>
        <v>-20966.203698270139</v>
      </c>
      <c r="M89">
        <f t="shared" si="5"/>
        <v>20966.203698270139</v>
      </c>
    </row>
    <row r="90" spans="1:13">
      <c r="A90">
        <v>50343.19</v>
      </c>
      <c r="B90">
        <v>3845</v>
      </c>
      <c r="C90">
        <v>88.7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>
        <v>572011.19999999995</v>
      </c>
      <c r="K90">
        <f t="shared" si="3"/>
        <v>592273.80657207652</v>
      </c>
      <c r="L90">
        <f t="shared" si="4"/>
        <v>-20262.606572076562</v>
      </c>
      <c r="M90">
        <f t="shared" si="5"/>
        <v>20262.606572076562</v>
      </c>
    </row>
    <row r="91" spans="1:13">
      <c r="A91">
        <v>47648.71</v>
      </c>
      <c r="B91">
        <v>5767</v>
      </c>
      <c r="C91">
        <v>89.8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635837.74</v>
      </c>
      <c r="K91">
        <f t="shared" si="3"/>
        <v>656094.36228976795</v>
      </c>
      <c r="L91">
        <f t="shared" si="4"/>
        <v>-20256.622289767954</v>
      </c>
      <c r="M91">
        <f t="shared" si="5"/>
        <v>20256.622289767954</v>
      </c>
    </row>
    <row r="92" spans="1:13">
      <c r="A92">
        <v>54322.94</v>
      </c>
      <c r="B92">
        <v>5434</v>
      </c>
      <c r="C92">
        <v>85.7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621677.30000000005</v>
      </c>
      <c r="K92">
        <f t="shared" si="3"/>
        <v>641922.60496714769</v>
      </c>
      <c r="L92">
        <f t="shared" si="4"/>
        <v>-20245.304967147647</v>
      </c>
      <c r="M92">
        <f t="shared" si="5"/>
        <v>20245.304967147647</v>
      </c>
    </row>
    <row r="93" spans="1:13">
      <c r="A93">
        <v>55270.52</v>
      </c>
      <c r="B93">
        <v>9315</v>
      </c>
      <c r="C93">
        <v>91.9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783672.82</v>
      </c>
      <c r="K93">
        <f t="shared" si="3"/>
        <v>803800.47252248658</v>
      </c>
      <c r="L93">
        <f t="shared" si="4"/>
        <v>-20127.652522486635</v>
      </c>
      <c r="M93">
        <f t="shared" si="5"/>
        <v>20127.652522486635</v>
      </c>
    </row>
    <row r="94" spans="1:13">
      <c r="A94">
        <v>52483.77</v>
      </c>
      <c r="B94">
        <v>10453</v>
      </c>
      <c r="C94">
        <v>99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800979.78</v>
      </c>
      <c r="K94">
        <f t="shared" si="3"/>
        <v>820598.14747371024</v>
      </c>
      <c r="L94">
        <f t="shared" si="4"/>
        <v>-19618.367473710212</v>
      </c>
      <c r="M94">
        <f t="shared" si="5"/>
        <v>19618.367473710212</v>
      </c>
    </row>
    <row r="95" spans="1:13">
      <c r="A95">
        <v>56973.18</v>
      </c>
      <c r="B95">
        <v>6662</v>
      </c>
      <c r="C95">
        <v>77.7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  <c r="J95">
        <v>643657.47</v>
      </c>
      <c r="K95">
        <f t="shared" si="3"/>
        <v>662961.72387612693</v>
      </c>
      <c r="L95">
        <f t="shared" si="4"/>
        <v>-19304.253876126953</v>
      </c>
      <c r="M95">
        <f t="shared" si="5"/>
        <v>19304.253876126953</v>
      </c>
    </row>
    <row r="96" spans="1:13">
      <c r="A96">
        <v>50909.27</v>
      </c>
      <c r="B96">
        <v>3152</v>
      </c>
      <c r="C96">
        <v>93.7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537058.32999999996</v>
      </c>
      <c r="K96">
        <f t="shared" si="3"/>
        <v>555821.84917482291</v>
      </c>
      <c r="L96">
        <f t="shared" si="4"/>
        <v>-18763.519174822955</v>
      </c>
      <c r="M96">
        <f t="shared" si="5"/>
        <v>18763.519174822955</v>
      </c>
    </row>
    <row r="97" spans="1:13">
      <c r="A97">
        <v>61132.07</v>
      </c>
      <c r="B97">
        <v>6394</v>
      </c>
      <c r="C97">
        <v>91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691113.62</v>
      </c>
      <c r="K97">
        <f t="shared" si="3"/>
        <v>709196.43491447694</v>
      </c>
      <c r="L97">
        <f t="shared" si="4"/>
        <v>-18082.814914476941</v>
      </c>
      <c r="M97">
        <f t="shared" si="5"/>
        <v>18082.814914476941</v>
      </c>
    </row>
    <row r="98" spans="1:13">
      <c r="A98">
        <v>43645.98</v>
      </c>
      <c r="B98">
        <v>9480</v>
      </c>
      <c r="C98">
        <v>89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721364.11</v>
      </c>
      <c r="K98">
        <f t="shared" si="3"/>
        <v>739178.85367197101</v>
      </c>
      <c r="L98">
        <f t="shared" si="4"/>
        <v>-17814.743671971024</v>
      </c>
      <c r="M98">
        <f t="shared" si="5"/>
        <v>17814.743671971024</v>
      </c>
    </row>
    <row r="99" spans="1:13">
      <c r="A99">
        <v>81801.8</v>
      </c>
      <c r="B99">
        <v>6782</v>
      </c>
      <c r="C99">
        <v>99</v>
      </c>
      <c r="D99">
        <v>0</v>
      </c>
      <c r="E99">
        <v>1</v>
      </c>
      <c r="F99">
        <v>0</v>
      </c>
      <c r="G99">
        <v>1</v>
      </c>
      <c r="H99">
        <v>0</v>
      </c>
      <c r="I99">
        <v>0</v>
      </c>
      <c r="J99">
        <v>764949</v>
      </c>
      <c r="K99">
        <f t="shared" si="3"/>
        <v>782657.44184739911</v>
      </c>
      <c r="L99">
        <f t="shared" si="4"/>
        <v>-17708.44184739911</v>
      </c>
      <c r="M99">
        <f t="shared" si="5"/>
        <v>17708.44184739911</v>
      </c>
    </row>
    <row r="100" spans="1:13">
      <c r="A100">
        <v>51056.15</v>
      </c>
      <c r="B100">
        <v>5686</v>
      </c>
      <c r="C100">
        <v>89.9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633494.21</v>
      </c>
      <c r="K100">
        <f t="shared" si="3"/>
        <v>651057.67247641331</v>
      </c>
      <c r="L100">
        <f t="shared" si="4"/>
        <v>-17563.462476413348</v>
      </c>
      <c r="M100">
        <f t="shared" si="5"/>
        <v>17563.462476413348</v>
      </c>
    </row>
    <row r="101" spans="1:13">
      <c r="A101">
        <v>57143.3</v>
      </c>
      <c r="B101">
        <v>8038</v>
      </c>
      <c r="C101">
        <v>72.599999999999994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677096.71</v>
      </c>
      <c r="K101">
        <f t="shared" si="3"/>
        <v>694652.50964227144</v>
      </c>
      <c r="L101">
        <f t="shared" si="4"/>
        <v>-17555.799642271479</v>
      </c>
      <c r="M101">
        <f t="shared" si="5"/>
        <v>17555.799642271479</v>
      </c>
    </row>
    <row r="102" spans="1:13">
      <c r="A102">
        <v>54002.83</v>
      </c>
      <c r="B102">
        <v>4366</v>
      </c>
      <c r="C102">
        <v>90.6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574066.61</v>
      </c>
      <c r="K102">
        <f t="shared" si="3"/>
        <v>591423.97971665266</v>
      </c>
      <c r="L102">
        <f t="shared" si="4"/>
        <v>-17357.369716652669</v>
      </c>
      <c r="M102">
        <f t="shared" si="5"/>
        <v>17357.369716652669</v>
      </c>
    </row>
    <row r="103" spans="1:13">
      <c r="A103">
        <v>33987.33</v>
      </c>
      <c r="B103">
        <v>5014</v>
      </c>
      <c r="C103">
        <v>94.3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622892.42000000004</v>
      </c>
      <c r="K103">
        <f t="shared" si="3"/>
        <v>640164.93284367013</v>
      </c>
      <c r="L103">
        <f t="shared" si="4"/>
        <v>-17272.512843670091</v>
      </c>
      <c r="M103">
        <f t="shared" si="5"/>
        <v>17272.512843670091</v>
      </c>
    </row>
    <row r="104" spans="1:13">
      <c r="A104">
        <v>44747</v>
      </c>
      <c r="B104">
        <v>11076</v>
      </c>
      <c r="C104">
        <v>98.3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842439.67</v>
      </c>
      <c r="K104">
        <f t="shared" si="3"/>
        <v>858892.0352386249</v>
      </c>
      <c r="L104">
        <f t="shared" si="4"/>
        <v>-16452.365238624858</v>
      </c>
      <c r="M104">
        <f t="shared" si="5"/>
        <v>16452.365238624858</v>
      </c>
    </row>
    <row r="105" spans="1:13">
      <c r="A105">
        <v>78831.12</v>
      </c>
      <c r="B105">
        <v>5538</v>
      </c>
      <c r="C105">
        <v>94.1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666573.19999999995</v>
      </c>
      <c r="K105">
        <f t="shared" si="3"/>
        <v>682866.70557487966</v>
      </c>
      <c r="L105">
        <f t="shared" si="4"/>
        <v>-16293.505574879702</v>
      </c>
      <c r="M105">
        <f t="shared" si="5"/>
        <v>16293.505574879702</v>
      </c>
    </row>
    <row r="106" spans="1:13">
      <c r="A106">
        <v>92090.14</v>
      </c>
      <c r="B106">
        <v>9476</v>
      </c>
      <c r="C106">
        <v>94.3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825060.52</v>
      </c>
      <c r="K106">
        <f t="shared" si="3"/>
        <v>841179.02280330379</v>
      </c>
      <c r="L106">
        <f t="shared" si="4"/>
        <v>-16118.502803303767</v>
      </c>
      <c r="M106">
        <f t="shared" si="5"/>
        <v>16118.502803303767</v>
      </c>
    </row>
    <row r="107" spans="1:13">
      <c r="A107">
        <v>53546.34</v>
      </c>
      <c r="B107">
        <v>8004</v>
      </c>
      <c r="C107">
        <v>95.2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763159.92</v>
      </c>
      <c r="K107">
        <f t="shared" si="3"/>
        <v>779203.70414209471</v>
      </c>
      <c r="L107">
        <f t="shared" si="4"/>
        <v>-16043.784142094664</v>
      </c>
      <c r="M107">
        <f t="shared" si="5"/>
        <v>16043.784142094664</v>
      </c>
    </row>
    <row r="108" spans="1:13">
      <c r="A108">
        <v>38752.800000000003</v>
      </c>
      <c r="B108">
        <v>4712</v>
      </c>
      <c r="C108">
        <v>89.7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605775.32999999996</v>
      </c>
      <c r="K108">
        <f t="shared" si="3"/>
        <v>621799.99417800398</v>
      </c>
      <c r="L108">
        <f t="shared" si="4"/>
        <v>-16024.664178004023</v>
      </c>
      <c r="M108">
        <f t="shared" si="5"/>
        <v>16024.664178004023</v>
      </c>
    </row>
    <row r="109" spans="1:13">
      <c r="A109">
        <v>93381.26</v>
      </c>
      <c r="B109">
        <v>7562</v>
      </c>
      <c r="C109">
        <v>82.9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736633.4</v>
      </c>
      <c r="K109">
        <f t="shared" si="3"/>
        <v>752505.69949460321</v>
      </c>
      <c r="L109">
        <f t="shared" si="4"/>
        <v>-15872.299494603183</v>
      </c>
      <c r="M109">
        <f t="shared" si="5"/>
        <v>15872.299494603183</v>
      </c>
    </row>
    <row r="110" spans="1:13">
      <c r="A110">
        <v>68909.259999999995</v>
      </c>
      <c r="B110">
        <v>7794</v>
      </c>
      <c r="C110">
        <v>89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696261.49</v>
      </c>
      <c r="K110">
        <f t="shared" si="3"/>
        <v>712113.02881252335</v>
      </c>
      <c r="L110">
        <f t="shared" si="4"/>
        <v>-15851.538812523359</v>
      </c>
      <c r="M110">
        <f t="shared" si="5"/>
        <v>15851.538812523359</v>
      </c>
    </row>
    <row r="111" spans="1:13">
      <c r="A111">
        <v>64811.21</v>
      </c>
      <c r="B111">
        <v>9792</v>
      </c>
      <c r="C111">
        <v>84.2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761835.34</v>
      </c>
      <c r="K111">
        <f t="shared" si="3"/>
        <v>777257.36967835552</v>
      </c>
      <c r="L111">
        <f t="shared" si="4"/>
        <v>-15422.029678355553</v>
      </c>
      <c r="M111">
        <f t="shared" si="5"/>
        <v>15422.029678355553</v>
      </c>
    </row>
    <row r="112" spans="1:13">
      <c r="A112">
        <v>71941.62</v>
      </c>
      <c r="B112">
        <v>6084</v>
      </c>
      <c r="C112">
        <v>93.7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681855.56</v>
      </c>
      <c r="K112">
        <f t="shared" si="3"/>
        <v>696669.26517974702</v>
      </c>
      <c r="L112">
        <f t="shared" si="4"/>
        <v>-14813.705179746961</v>
      </c>
      <c r="M112">
        <f t="shared" si="5"/>
        <v>14813.705179746961</v>
      </c>
    </row>
    <row r="113" spans="1:13">
      <c r="A113">
        <v>70366.759999999995</v>
      </c>
      <c r="B113">
        <v>1963</v>
      </c>
      <c r="C113">
        <v>89.8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529075.94999999995</v>
      </c>
      <c r="K113">
        <f t="shared" si="3"/>
        <v>543712.52312559565</v>
      </c>
      <c r="L113">
        <f t="shared" si="4"/>
        <v>-14636.573125595693</v>
      </c>
      <c r="M113">
        <f t="shared" si="5"/>
        <v>14636.573125595693</v>
      </c>
    </row>
    <row r="114" spans="1:13">
      <c r="A114">
        <v>48804.22</v>
      </c>
      <c r="B114">
        <v>7057</v>
      </c>
      <c r="C114">
        <v>87.7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666152.52</v>
      </c>
      <c r="K114">
        <f t="shared" si="3"/>
        <v>679664.92381735018</v>
      </c>
      <c r="L114">
        <f t="shared" si="4"/>
        <v>-13512.403817350161</v>
      </c>
      <c r="M114">
        <f t="shared" si="5"/>
        <v>13512.403817350161</v>
      </c>
    </row>
    <row r="115" spans="1:13">
      <c r="A115">
        <v>86883.31</v>
      </c>
      <c r="B115">
        <v>6424</v>
      </c>
      <c r="C115">
        <v>85.2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700078.32</v>
      </c>
      <c r="K115">
        <f t="shared" si="3"/>
        <v>713062.26428099105</v>
      </c>
      <c r="L115">
        <f t="shared" si="4"/>
        <v>-12983.944280991098</v>
      </c>
      <c r="M115">
        <f t="shared" si="5"/>
        <v>12983.944280991098</v>
      </c>
    </row>
    <row r="116" spans="1:13">
      <c r="A116">
        <v>37705.879999999997</v>
      </c>
      <c r="B116">
        <v>1268</v>
      </c>
      <c r="C116">
        <v>84.1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443275.59</v>
      </c>
      <c r="K116">
        <f t="shared" si="3"/>
        <v>456129.36258479534</v>
      </c>
      <c r="L116">
        <f t="shared" si="4"/>
        <v>-12853.772584795312</v>
      </c>
      <c r="M116">
        <f t="shared" si="5"/>
        <v>12853.772584795312</v>
      </c>
    </row>
    <row r="117" spans="1:13">
      <c r="A117">
        <v>30301.86</v>
      </c>
      <c r="B117">
        <v>6939</v>
      </c>
      <c r="C117">
        <v>90.3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665534.69999999995</v>
      </c>
      <c r="K117">
        <f t="shared" si="3"/>
        <v>678363.53202675632</v>
      </c>
      <c r="L117">
        <f t="shared" si="4"/>
        <v>-12828.832026756369</v>
      </c>
      <c r="M117">
        <f t="shared" si="5"/>
        <v>12828.832026756369</v>
      </c>
    </row>
    <row r="118" spans="1:13">
      <c r="A118">
        <v>58981.91</v>
      </c>
      <c r="B118">
        <v>7324</v>
      </c>
      <c r="C118">
        <v>95.8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708985.19</v>
      </c>
      <c r="K118">
        <f t="shared" si="3"/>
        <v>721114.79580895416</v>
      </c>
      <c r="L118">
        <f t="shared" si="4"/>
        <v>-12129.60580895422</v>
      </c>
      <c r="M118">
        <f t="shared" si="5"/>
        <v>12129.60580895422</v>
      </c>
    </row>
    <row r="119" spans="1:13">
      <c r="A119">
        <v>62059.18</v>
      </c>
      <c r="B119">
        <v>9374</v>
      </c>
      <c r="C119">
        <v>87.1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739831.73</v>
      </c>
      <c r="K119">
        <f t="shared" si="3"/>
        <v>751844.7719699369</v>
      </c>
      <c r="L119">
        <f t="shared" si="4"/>
        <v>-12013.041969936923</v>
      </c>
      <c r="M119">
        <f t="shared" si="5"/>
        <v>12013.041969936923</v>
      </c>
    </row>
    <row r="120" spans="1:13">
      <c r="A120">
        <v>70284.06</v>
      </c>
      <c r="B120">
        <v>9109</v>
      </c>
      <c r="C120">
        <v>87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761122.42</v>
      </c>
      <c r="K120">
        <f t="shared" si="3"/>
        <v>772598.10925415729</v>
      </c>
      <c r="L120">
        <f t="shared" si="4"/>
        <v>-11475.689254157245</v>
      </c>
      <c r="M120">
        <f t="shared" si="5"/>
        <v>11475.689254157245</v>
      </c>
    </row>
    <row r="121" spans="1:13">
      <c r="A121">
        <v>55599.56</v>
      </c>
      <c r="B121">
        <v>5896</v>
      </c>
      <c r="C121">
        <v>93.1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668459.37</v>
      </c>
      <c r="K121">
        <f t="shared" si="3"/>
        <v>679682.92713733972</v>
      </c>
      <c r="L121">
        <f t="shared" si="4"/>
        <v>-11223.557137339725</v>
      </c>
      <c r="M121">
        <f t="shared" si="5"/>
        <v>11223.557137339725</v>
      </c>
    </row>
    <row r="122" spans="1:13">
      <c r="A122">
        <v>74679.350000000006</v>
      </c>
      <c r="B122">
        <v>8739</v>
      </c>
      <c r="C122">
        <v>91.8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783797.89</v>
      </c>
      <c r="K122">
        <f t="shared" si="3"/>
        <v>794770.34371218923</v>
      </c>
      <c r="L122">
        <f t="shared" si="4"/>
        <v>-10972.453712189221</v>
      </c>
      <c r="M122">
        <f t="shared" si="5"/>
        <v>10972.453712189221</v>
      </c>
    </row>
    <row r="123" spans="1:13">
      <c r="A123">
        <v>70799.64</v>
      </c>
      <c r="B123">
        <v>10076</v>
      </c>
      <c r="C123">
        <v>84.8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828219.67</v>
      </c>
      <c r="K123">
        <f t="shared" si="3"/>
        <v>839067.11814037629</v>
      </c>
      <c r="L123">
        <f t="shared" si="4"/>
        <v>-10847.448140376247</v>
      </c>
      <c r="M123">
        <f t="shared" si="5"/>
        <v>10847.448140376247</v>
      </c>
    </row>
    <row r="124" spans="1:13">
      <c r="A124">
        <v>75645.23</v>
      </c>
      <c r="B124">
        <v>9674</v>
      </c>
      <c r="C124">
        <v>87.4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785028.25</v>
      </c>
      <c r="K124">
        <f t="shared" si="3"/>
        <v>795612.67167026456</v>
      </c>
      <c r="L124">
        <f t="shared" si="4"/>
        <v>-10584.421670264564</v>
      </c>
      <c r="M124">
        <f t="shared" si="5"/>
        <v>10584.421670264564</v>
      </c>
    </row>
    <row r="125" spans="1:13">
      <c r="A125">
        <v>52843.75</v>
      </c>
      <c r="B125">
        <v>8268</v>
      </c>
      <c r="C125">
        <v>87.3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730890.01</v>
      </c>
      <c r="K125">
        <f t="shared" si="3"/>
        <v>741267.24578825117</v>
      </c>
      <c r="L125">
        <f t="shared" si="4"/>
        <v>-10377.235788251157</v>
      </c>
      <c r="M125">
        <f t="shared" si="5"/>
        <v>10377.235788251157</v>
      </c>
    </row>
    <row r="126" spans="1:13">
      <c r="A126">
        <v>61995.3</v>
      </c>
      <c r="B126">
        <v>10192</v>
      </c>
      <c r="C126">
        <v>87.6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799756.46</v>
      </c>
      <c r="K126">
        <f t="shared" si="3"/>
        <v>809818.6930216914</v>
      </c>
      <c r="L126">
        <f t="shared" si="4"/>
        <v>-10062.233021691442</v>
      </c>
      <c r="M126">
        <f t="shared" si="5"/>
        <v>10062.233021691442</v>
      </c>
    </row>
    <row r="127" spans="1:13">
      <c r="A127">
        <v>66870.62</v>
      </c>
      <c r="B127">
        <v>6055</v>
      </c>
      <c r="C127">
        <v>93.8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692008.64</v>
      </c>
      <c r="K127">
        <f t="shared" si="3"/>
        <v>701846.97638028208</v>
      </c>
      <c r="L127">
        <f t="shared" si="4"/>
        <v>-9838.3363802820677</v>
      </c>
      <c r="M127">
        <f t="shared" si="5"/>
        <v>9838.3363802820677</v>
      </c>
    </row>
    <row r="128" spans="1:13">
      <c r="A128">
        <v>44189.34</v>
      </c>
      <c r="B128">
        <v>8634</v>
      </c>
      <c r="C128">
        <v>87.5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746115.59</v>
      </c>
      <c r="K128">
        <f t="shared" si="3"/>
        <v>755857.33638515975</v>
      </c>
      <c r="L128">
        <f t="shared" si="4"/>
        <v>-9741.7463851597859</v>
      </c>
      <c r="M128">
        <f t="shared" si="5"/>
        <v>9741.7463851597859</v>
      </c>
    </row>
    <row r="129" spans="1:13">
      <c r="A129">
        <v>72932.55</v>
      </c>
      <c r="B129">
        <v>5765</v>
      </c>
      <c r="C129">
        <v>81.8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642751.42000000004</v>
      </c>
      <c r="K129">
        <f t="shared" si="3"/>
        <v>651806.4437128352</v>
      </c>
      <c r="L129">
        <f t="shared" si="4"/>
        <v>-9055.0237128351582</v>
      </c>
      <c r="M129">
        <f t="shared" si="5"/>
        <v>9055.0237128351582</v>
      </c>
    </row>
    <row r="130" spans="1:13">
      <c r="A130">
        <v>9534.65</v>
      </c>
      <c r="B130">
        <v>6057</v>
      </c>
      <c r="C130">
        <v>94.1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607898.12</v>
      </c>
      <c r="K130">
        <f t="shared" ref="K130:K193" si="6">150574.3805
+(1.188357955*A130)
+(33.85981294*B130)
+(2961.270646*C130)
+(-10576.28618*D130)
+(1313.395721*E130)
+(-18934.81748*F130)
+(10756.80055*G130)
+(-12295.38702*H130)
+(-28871.87105*I130)</f>
        <v>616777.54139182076</v>
      </c>
      <c r="L130">
        <f t="shared" ref="L130:L193" si="7">J130-K130</f>
        <v>-8879.4213918207679</v>
      </c>
      <c r="M130">
        <f t="shared" ref="M130:M193" si="8">ABS(L130)</f>
        <v>8879.4213918207679</v>
      </c>
    </row>
    <row r="131" spans="1:13">
      <c r="A131">
        <v>63986.98</v>
      </c>
      <c r="B131">
        <v>7989</v>
      </c>
      <c r="C131">
        <v>83.3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724346.73</v>
      </c>
      <c r="K131">
        <f t="shared" si="6"/>
        <v>733217.42140888586</v>
      </c>
      <c r="L131">
        <f t="shared" si="7"/>
        <v>-8870.6914088858757</v>
      </c>
      <c r="M131">
        <f t="shared" si="8"/>
        <v>8870.6914088858757</v>
      </c>
    </row>
    <row r="132" spans="1:13">
      <c r="A132">
        <v>18996.32</v>
      </c>
      <c r="B132">
        <v>1260</v>
      </c>
      <c r="C132">
        <v>86.4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450711.92</v>
      </c>
      <c r="K132">
        <f t="shared" si="6"/>
        <v>459370.56958652555</v>
      </c>
      <c r="L132">
        <f t="shared" si="7"/>
        <v>-8658.6495865255711</v>
      </c>
      <c r="M132">
        <f t="shared" si="8"/>
        <v>8658.6495865255711</v>
      </c>
    </row>
    <row r="133" spans="1:13">
      <c r="A133">
        <v>19365.060000000001</v>
      </c>
      <c r="B133">
        <v>2378</v>
      </c>
      <c r="C133">
        <v>94.8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518049.26</v>
      </c>
      <c r="K133">
        <f t="shared" si="6"/>
        <v>526656.07908217225</v>
      </c>
      <c r="L133">
        <f t="shared" si="7"/>
        <v>-8606.8190821722383</v>
      </c>
      <c r="M133">
        <f t="shared" si="8"/>
        <v>8606.8190821722383</v>
      </c>
    </row>
    <row r="134" spans="1:13">
      <c r="A134">
        <v>107970.19</v>
      </c>
      <c r="B134">
        <v>12870</v>
      </c>
      <c r="C134">
        <v>91.7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946833.54</v>
      </c>
      <c r="K134">
        <f t="shared" si="6"/>
        <v>954975.72096536146</v>
      </c>
      <c r="L134">
        <f t="shared" si="7"/>
        <v>-8142.1809653614182</v>
      </c>
      <c r="M134">
        <f t="shared" si="8"/>
        <v>8142.1809653614182</v>
      </c>
    </row>
    <row r="135" spans="1:13">
      <c r="A135">
        <v>26248.1</v>
      </c>
      <c r="B135">
        <v>9314</v>
      </c>
      <c r="C135">
        <v>83.7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737070.18</v>
      </c>
      <c r="K135">
        <f t="shared" si="6"/>
        <v>744995.16973199556</v>
      </c>
      <c r="L135">
        <f t="shared" si="7"/>
        <v>-7924.9897319955053</v>
      </c>
      <c r="M135">
        <f t="shared" si="8"/>
        <v>7924.9897319955053</v>
      </c>
    </row>
    <row r="136" spans="1:13">
      <c r="A136">
        <v>31042.03</v>
      </c>
      <c r="B136">
        <v>7107</v>
      </c>
      <c r="C136">
        <v>87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665594.93999999994</v>
      </c>
      <c r="K136">
        <f t="shared" si="6"/>
        <v>673440.27353642858</v>
      </c>
      <c r="L136">
        <f t="shared" si="7"/>
        <v>-7845.3335364286322</v>
      </c>
      <c r="M136">
        <f t="shared" si="8"/>
        <v>7845.3335364286322</v>
      </c>
    </row>
    <row r="137" spans="1:13">
      <c r="A137">
        <v>21536.18</v>
      </c>
      <c r="B137">
        <v>8119</v>
      </c>
      <c r="C137">
        <v>90.4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679888.74</v>
      </c>
      <c r="K137">
        <f t="shared" si="6"/>
        <v>687543.55448157189</v>
      </c>
      <c r="L137">
        <f t="shared" si="7"/>
        <v>-7654.8144815718988</v>
      </c>
      <c r="M137">
        <f t="shared" si="8"/>
        <v>7654.8144815718988</v>
      </c>
    </row>
    <row r="138" spans="1:13">
      <c r="A138">
        <v>37828.5</v>
      </c>
      <c r="B138">
        <v>8221</v>
      </c>
      <c r="C138">
        <v>81.5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697155.3</v>
      </c>
      <c r="K138">
        <f t="shared" si="6"/>
        <v>704251.26793045748</v>
      </c>
      <c r="L138">
        <f t="shared" si="7"/>
        <v>-7095.9679304574383</v>
      </c>
      <c r="M138">
        <f t="shared" si="8"/>
        <v>7095.9679304574383</v>
      </c>
    </row>
    <row r="139" spans="1:13">
      <c r="A139">
        <v>51133.43</v>
      </c>
      <c r="B139">
        <v>5150</v>
      </c>
      <c r="C139">
        <v>88.5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611924.27</v>
      </c>
      <c r="K139">
        <f t="shared" si="6"/>
        <v>618917.81656893564</v>
      </c>
      <c r="L139">
        <f t="shared" si="7"/>
        <v>-6993.5465689356206</v>
      </c>
      <c r="M139">
        <f t="shared" si="8"/>
        <v>6993.5465689356206</v>
      </c>
    </row>
    <row r="140" spans="1:13">
      <c r="A140">
        <v>78231.91</v>
      </c>
      <c r="B140">
        <v>3788</v>
      </c>
      <c r="C140">
        <v>88.5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614596.31999999995</v>
      </c>
      <c r="K140">
        <f t="shared" si="6"/>
        <v>621579.92965106398</v>
      </c>
      <c r="L140">
        <f t="shared" si="7"/>
        <v>-6983.6096510640346</v>
      </c>
      <c r="M140">
        <f t="shared" si="8"/>
        <v>6983.6096510640346</v>
      </c>
    </row>
    <row r="141" spans="1:13">
      <c r="A141">
        <v>41441.93</v>
      </c>
      <c r="B141">
        <v>4865</v>
      </c>
      <c r="C141">
        <v>88.3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591619.94999999995</v>
      </c>
      <c r="K141">
        <f t="shared" si="6"/>
        <v>598471.94035195315</v>
      </c>
      <c r="L141">
        <f t="shared" si="7"/>
        <v>-6851.9903519531945</v>
      </c>
      <c r="M141">
        <f t="shared" si="8"/>
        <v>6851.9903519531945</v>
      </c>
    </row>
    <row r="142" spans="1:13">
      <c r="A142">
        <v>68040.149999999994</v>
      </c>
      <c r="B142">
        <v>9826</v>
      </c>
      <c r="C142">
        <v>83.9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758138.29</v>
      </c>
      <c r="K142">
        <f t="shared" si="6"/>
        <v>764780.87462973339</v>
      </c>
      <c r="L142">
        <f t="shared" si="7"/>
        <v>-6642.5846297333483</v>
      </c>
      <c r="M142">
        <f t="shared" si="8"/>
        <v>6642.5846297333483</v>
      </c>
    </row>
    <row r="143" spans="1:13">
      <c r="A143">
        <v>16451.849999999999</v>
      </c>
      <c r="B143">
        <v>4678</v>
      </c>
      <c r="C143">
        <v>95.9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606278.30000000005</v>
      </c>
      <c r="K143">
        <f t="shared" si="6"/>
        <v>612687.64157668676</v>
      </c>
      <c r="L143">
        <f t="shared" si="7"/>
        <v>-6409.3415766867111</v>
      </c>
      <c r="M143">
        <f t="shared" si="8"/>
        <v>6409.3415766867111</v>
      </c>
    </row>
    <row r="144" spans="1:13">
      <c r="A144">
        <v>18599.21</v>
      </c>
      <c r="B144">
        <v>3027</v>
      </c>
      <c r="C144">
        <v>80.900000000000006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497439.82</v>
      </c>
      <c r="K144">
        <f t="shared" si="6"/>
        <v>503755.35739199555</v>
      </c>
      <c r="L144">
        <f t="shared" si="7"/>
        <v>-6315.5373919955455</v>
      </c>
      <c r="M144">
        <f t="shared" si="8"/>
        <v>6315.5373919955455</v>
      </c>
    </row>
    <row r="145" spans="1:13">
      <c r="A145">
        <v>52715.1</v>
      </c>
      <c r="B145">
        <v>7223</v>
      </c>
      <c r="C145">
        <v>84.2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701641.97</v>
      </c>
      <c r="K145">
        <f t="shared" si="6"/>
        <v>707127.20619244047</v>
      </c>
      <c r="L145">
        <f t="shared" si="7"/>
        <v>-5485.2361924404977</v>
      </c>
      <c r="M145">
        <f t="shared" si="8"/>
        <v>5485.2361924404977</v>
      </c>
    </row>
    <row r="146" spans="1:13">
      <c r="A146">
        <v>43319.94</v>
      </c>
      <c r="B146">
        <v>6551</v>
      </c>
      <c r="C146">
        <v>99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712868.35</v>
      </c>
      <c r="K146">
        <f t="shared" si="6"/>
        <v>718348.80005406274</v>
      </c>
      <c r="L146">
        <f t="shared" si="7"/>
        <v>-5480.4500540627632</v>
      </c>
      <c r="M146">
        <f t="shared" si="8"/>
        <v>5480.4500540627632</v>
      </c>
    </row>
    <row r="147" spans="1:13">
      <c r="A147">
        <v>66455.8</v>
      </c>
      <c r="B147">
        <v>10836</v>
      </c>
      <c r="C147">
        <v>85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811452.72</v>
      </c>
      <c r="K147">
        <f t="shared" si="6"/>
        <v>816930.39251372905</v>
      </c>
      <c r="L147">
        <f t="shared" si="7"/>
        <v>-5477.6725137290778</v>
      </c>
      <c r="M147">
        <f t="shared" si="8"/>
        <v>5477.6725137290778</v>
      </c>
    </row>
    <row r="148" spans="1:13">
      <c r="A148">
        <v>40928.69</v>
      </c>
      <c r="B148">
        <v>4094</v>
      </c>
      <c r="C148">
        <v>82.4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548103.69999999995</v>
      </c>
      <c r="K148">
        <f t="shared" si="6"/>
        <v>552971.21920598904</v>
      </c>
      <c r="L148">
        <f t="shared" si="7"/>
        <v>-4867.5192059890833</v>
      </c>
      <c r="M148">
        <f t="shared" si="8"/>
        <v>4867.5192059890833</v>
      </c>
    </row>
    <row r="149" spans="1:13">
      <c r="A149">
        <v>65012.19</v>
      </c>
      <c r="B149">
        <v>9598</v>
      </c>
      <c r="C149">
        <v>98.3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828623.85</v>
      </c>
      <c r="K149">
        <f t="shared" si="6"/>
        <v>833335.2365783914</v>
      </c>
      <c r="L149">
        <f t="shared" si="7"/>
        <v>-4711.3865783914225</v>
      </c>
      <c r="M149">
        <f t="shared" si="8"/>
        <v>4711.3865783914225</v>
      </c>
    </row>
    <row r="150" spans="1:13">
      <c r="A150">
        <v>38966.589999999997</v>
      </c>
      <c r="B150">
        <v>4509</v>
      </c>
      <c r="C150">
        <v>91.1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585937.48</v>
      </c>
      <c r="K150">
        <f t="shared" si="6"/>
        <v>590454.4190527834</v>
      </c>
      <c r="L150">
        <f t="shared" si="7"/>
        <v>-4516.9390527834184</v>
      </c>
      <c r="M150">
        <f t="shared" si="8"/>
        <v>4516.9390527834184</v>
      </c>
    </row>
    <row r="151" spans="1:13">
      <c r="A151">
        <v>43288.2</v>
      </c>
      <c r="B151">
        <v>4783</v>
      </c>
      <c r="C151">
        <v>87.3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605751.32999999996</v>
      </c>
      <c r="K151">
        <f t="shared" si="6"/>
        <v>610191.28299545101</v>
      </c>
      <c r="L151">
        <f t="shared" si="7"/>
        <v>-4439.9529954510508</v>
      </c>
      <c r="M151">
        <f t="shared" si="8"/>
        <v>4439.9529954510508</v>
      </c>
    </row>
    <row r="152" spans="1:13">
      <c r="A152">
        <v>49405.75</v>
      </c>
      <c r="B152">
        <v>9752</v>
      </c>
      <c r="C152">
        <v>87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761963.23</v>
      </c>
      <c r="K152">
        <f t="shared" si="6"/>
        <v>765887.3340281212</v>
      </c>
      <c r="L152">
        <f t="shared" si="7"/>
        <v>-3924.104028121219</v>
      </c>
      <c r="M152">
        <f t="shared" si="8"/>
        <v>3924.104028121219</v>
      </c>
    </row>
    <row r="153" spans="1:13">
      <c r="A153">
        <v>63043.94</v>
      </c>
      <c r="B153">
        <v>10402</v>
      </c>
      <c r="C153">
        <v>93.9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804264</v>
      </c>
      <c r="K153">
        <f t="shared" si="6"/>
        <v>807959.54744482273</v>
      </c>
      <c r="L153">
        <f t="shared" si="7"/>
        <v>-3695.5474448227324</v>
      </c>
      <c r="M153">
        <f t="shared" si="8"/>
        <v>3695.5474448227324</v>
      </c>
    </row>
    <row r="154" spans="1:13">
      <c r="A154">
        <v>59825.51</v>
      </c>
      <c r="B154">
        <v>1231</v>
      </c>
      <c r="C154">
        <v>84.8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498970.32</v>
      </c>
      <c r="K154">
        <f t="shared" si="6"/>
        <v>502170.29471037199</v>
      </c>
      <c r="L154">
        <f t="shared" si="7"/>
        <v>-3199.9747103719856</v>
      </c>
      <c r="M154">
        <f t="shared" si="8"/>
        <v>3199.9747103719856</v>
      </c>
    </row>
    <row r="155" spans="1:13">
      <c r="A155">
        <v>52285.45</v>
      </c>
      <c r="B155">
        <v>3618</v>
      </c>
      <c r="C155">
        <v>95.6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593247.25</v>
      </c>
      <c r="K155">
        <f t="shared" si="6"/>
        <v>595438.81471277471</v>
      </c>
      <c r="L155">
        <f t="shared" si="7"/>
        <v>-2191.564712774707</v>
      </c>
      <c r="M155">
        <f t="shared" si="8"/>
        <v>2191.564712774707</v>
      </c>
    </row>
    <row r="156" spans="1:13">
      <c r="A156">
        <v>57948.88</v>
      </c>
      <c r="B156">
        <v>10741</v>
      </c>
      <c r="C156">
        <v>90.1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819660.59</v>
      </c>
      <c r="K156">
        <f t="shared" si="6"/>
        <v>821065.25797448051</v>
      </c>
      <c r="L156">
        <f t="shared" si="7"/>
        <v>-1404.6679744805442</v>
      </c>
      <c r="M156">
        <f t="shared" si="8"/>
        <v>1404.6679744805442</v>
      </c>
    </row>
    <row r="157" spans="1:13">
      <c r="A157">
        <v>38361.93</v>
      </c>
      <c r="B157">
        <v>6322</v>
      </c>
      <c r="C157">
        <v>88.4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647953.78</v>
      </c>
      <c r="K157">
        <f t="shared" si="6"/>
        <v>649128.47449773306</v>
      </c>
      <c r="L157">
        <f t="shared" si="7"/>
        <v>-1174.6944977330277</v>
      </c>
      <c r="M157">
        <f t="shared" si="8"/>
        <v>1174.6944977330277</v>
      </c>
    </row>
    <row r="158" spans="1:13">
      <c r="A158">
        <v>66962.740000000005</v>
      </c>
      <c r="B158">
        <v>7880</v>
      </c>
      <c r="C158">
        <v>90.4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732667.92</v>
      </c>
      <c r="K158">
        <f t="shared" si="6"/>
        <v>733434.07313319668</v>
      </c>
      <c r="L158">
        <f t="shared" si="7"/>
        <v>-766.15313319663983</v>
      </c>
      <c r="M158">
        <f t="shared" si="8"/>
        <v>766.15313319663983</v>
      </c>
    </row>
    <row r="159" spans="1:13">
      <c r="A159">
        <v>42018.400000000001</v>
      </c>
      <c r="B159">
        <v>8296</v>
      </c>
      <c r="C159">
        <v>91.8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740496.65</v>
      </c>
      <c r="K159">
        <f t="shared" si="6"/>
        <v>740957.54682941199</v>
      </c>
      <c r="L159">
        <f t="shared" si="7"/>
        <v>-460.89682941196952</v>
      </c>
      <c r="M159">
        <f t="shared" si="8"/>
        <v>460.89682941196952</v>
      </c>
    </row>
    <row r="160" spans="1:13">
      <c r="A160">
        <v>60183.06</v>
      </c>
      <c r="B160">
        <v>5562</v>
      </c>
      <c r="C160">
        <v>86.3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636775.66</v>
      </c>
      <c r="K160">
        <f t="shared" si="6"/>
        <v>637107.46387932228</v>
      </c>
      <c r="L160">
        <f t="shared" si="7"/>
        <v>-331.8038793222513</v>
      </c>
      <c r="M160">
        <f t="shared" si="8"/>
        <v>331.8038793222513</v>
      </c>
    </row>
    <row r="161" spans="1:13">
      <c r="A161">
        <v>54968.98</v>
      </c>
      <c r="B161">
        <v>7816</v>
      </c>
      <c r="C161">
        <v>95.7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735480.19</v>
      </c>
      <c r="K161">
        <f t="shared" si="6"/>
        <v>735067.23287247587</v>
      </c>
      <c r="L161">
        <f t="shared" si="7"/>
        <v>412.95712752407417</v>
      </c>
      <c r="M161">
        <f t="shared" si="8"/>
        <v>412.95712752407417</v>
      </c>
    </row>
    <row r="162" spans="1:13">
      <c r="A162">
        <v>50532.17</v>
      </c>
      <c r="B162">
        <v>5689</v>
      </c>
      <c r="C162">
        <v>85.6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645039.97</v>
      </c>
      <c r="K162">
        <f t="shared" si="6"/>
        <v>644442.54279617232</v>
      </c>
      <c r="L162">
        <f t="shared" si="7"/>
        <v>597.42720382765401</v>
      </c>
      <c r="M162">
        <f t="shared" si="8"/>
        <v>597.42720382765401</v>
      </c>
    </row>
    <row r="163" spans="1:13">
      <c r="A163">
        <v>67494.09</v>
      </c>
      <c r="B163">
        <v>12361</v>
      </c>
      <c r="C163">
        <v>76.599999999999994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887537.75</v>
      </c>
      <c r="K163">
        <f t="shared" si="6"/>
        <v>886912.79905192589</v>
      </c>
      <c r="L163">
        <f t="shared" si="7"/>
        <v>624.95094807411078</v>
      </c>
      <c r="M163">
        <f t="shared" si="8"/>
        <v>624.95094807411078</v>
      </c>
    </row>
    <row r="164" spans="1:13">
      <c r="A164">
        <v>44970.080000000002</v>
      </c>
      <c r="B164">
        <v>2471</v>
      </c>
      <c r="C164">
        <v>87.6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500173.02</v>
      </c>
      <c r="K164">
        <f t="shared" si="6"/>
        <v>499283.15063932637</v>
      </c>
      <c r="L164">
        <f t="shared" si="7"/>
        <v>889.86936067364877</v>
      </c>
      <c r="M164">
        <f t="shared" si="8"/>
        <v>889.86936067364877</v>
      </c>
    </row>
    <row r="165" spans="1:13">
      <c r="A165">
        <v>35296.54</v>
      </c>
      <c r="B165">
        <v>9644</v>
      </c>
      <c r="C165">
        <v>88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752321.72</v>
      </c>
      <c r="K165">
        <f t="shared" si="6"/>
        <v>750783.28638433572</v>
      </c>
      <c r="L165">
        <f t="shared" si="7"/>
        <v>1538.433615664253</v>
      </c>
      <c r="M165">
        <f t="shared" si="8"/>
        <v>1538.433615664253</v>
      </c>
    </row>
    <row r="166" spans="1:13">
      <c r="A166">
        <v>68410.929999999993</v>
      </c>
      <c r="B166">
        <v>10596</v>
      </c>
      <c r="C166">
        <v>81.2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801830.35</v>
      </c>
      <c r="K166">
        <f t="shared" si="6"/>
        <v>799874.60324188811</v>
      </c>
      <c r="L166">
        <f t="shared" si="7"/>
        <v>1955.746758111869</v>
      </c>
      <c r="M166">
        <f t="shared" si="8"/>
        <v>1955.746758111869</v>
      </c>
    </row>
    <row r="167" spans="1:13">
      <c r="A167">
        <v>14519.37</v>
      </c>
      <c r="B167">
        <v>3047</v>
      </c>
      <c r="C167">
        <v>90.3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528852.62</v>
      </c>
      <c r="K167">
        <f t="shared" si="6"/>
        <v>526106.79168306827</v>
      </c>
      <c r="L167">
        <f t="shared" si="7"/>
        <v>2745.8283169317292</v>
      </c>
      <c r="M167">
        <f t="shared" si="8"/>
        <v>2745.8283169317292</v>
      </c>
    </row>
    <row r="168" spans="1:13">
      <c r="A168">
        <v>74539.14</v>
      </c>
      <c r="B168">
        <v>4487</v>
      </c>
      <c r="C168">
        <v>90.4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633009.53</v>
      </c>
      <c r="K168">
        <f t="shared" si="6"/>
        <v>629909.53648803872</v>
      </c>
      <c r="L168">
        <f t="shared" si="7"/>
        <v>3099.9935119613074</v>
      </c>
      <c r="M168">
        <f t="shared" si="8"/>
        <v>3099.9935119613074</v>
      </c>
    </row>
    <row r="169" spans="1:13">
      <c r="A169">
        <v>27194.639999999999</v>
      </c>
      <c r="B169">
        <v>7404</v>
      </c>
      <c r="C169">
        <v>90.2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672670.54</v>
      </c>
      <c r="K169">
        <f t="shared" si="6"/>
        <v>669465.81005432107</v>
      </c>
      <c r="L169">
        <f t="shared" si="7"/>
        <v>3204.7299456789624</v>
      </c>
      <c r="M169">
        <f t="shared" si="8"/>
        <v>3204.7299456789624</v>
      </c>
    </row>
    <row r="170" spans="1:13">
      <c r="A170">
        <v>78432.14</v>
      </c>
      <c r="B170">
        <v>9440</v>
      </c>
      <c r="C170">
        <v>89.2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820729.29</v>
      </c>
      <c r="K170">
        <f t="shared" si="6"/>
        <v>816985.52759347355</v>
      </c>
      <c r="L170">
        <f t="shared" si="7"/>
        <v>3743.7624065264827</v>
      </c>
      <c r="M170">
        <f t="shared" si="8"/>
        <v>3743.7624065264827</v>
      </c>
    </row>
    <row r="171" spans="1:13">
      <c r="A171">
        <v>48609.41</v>
      </c>
      <c r="B171">
        <v>9324</v>
      </c>
      <c r="C171">
        <v>86.5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756619.77</v>
      </c>
      <c r="K171">
        <f t="shared" si="6"/>
        <v>752640.09096391662</v>
      </c>
      <c r="L171">
        <f t="shared" si="7"/>
        <v>3979.6790360833984</v>
      </c>
      <c r="M171">
        <f t="shared" si="8"/>
        <v>3979.6790360833984</v>
      </c>
    </row>
    <row r="172" spans="1:13">
      <c r="A172">
        <v>40102.879999999997</v>
      </c>
      <c r="B172">
        <v>2358</v>
      </c>
      <c r="C172">
        <v>88.7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533121.26</v>
      </c>
      <c r="K172">
        <f t="shared" si="6"/>
        <v>528441.7151591304</v>
      </c>
      <c r="L172">
        <f t="shared" si="7"/>
        <v>4679.5448408696102</v>
      </c>
      <c r="M172">
        <f t="shared" si="8"/>
        <v>4679.5448408696102</v>
      </c>
    </row>
    <row r="173" spans="1:13">
      <c r="A173">
        <v>63010.23</v>
      </c>
      <c r="B173">
        <v>9812</v>
      </c>
      <c r="C173">
        <v>76.8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761077.08</v>
      </c>
      <c r="K173">
        <f t="shared" si="6"/>
        <v>756239.28769695968</v>
      </c>
      <c r="L173">
        <f t="shared" si="7"/>
        <v>4837.7923030402744</v>
      </c>
      <c r="M173">
        <f t="shared" si="8"/>
        <v>4837.7923030402744</v>
      </c>
    </row>
    <row r="174" spans="1:13">
      <c r="A174">
        <v>42698.14</v>
      </c>
      <c r="B174">
        <v>7693</v>
      </c>
      <c r="C174">
        <v>90.1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702318.94</v>
      </c>
      <c r="K174">
        <f t="shared" si="6"/>
        <v>697378.87648472365</v>
      </c>
      <c r="L174">
        <f t="shared" si="7"/>
        <v>4940.0635152762989</v>
      </c>
      <c r="M174">
        <f t="shared" si="8"/>
        <v>4940.0635152762989</v>
      </c>
    </row>
    <row r="175" spans="1:13">
      <c r="A175">
        <v>69900.12</v>
      </c>
      <c r="B175">
        <v>8055</v>
      </c>
      <c r="C175">
        <v>85.6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776992.93</v>
      </c>
      <c r="K175">
        <f t="shared" si="6"/>
        <v>771936.50095775456</v>
      </c>
      <c r="L175">
        <f t="shared" si="7"/>
        <v>5056.4290422454942</v>
      </c>
      <c r="M175">
        <f t="shared" si="8"/>
        <v>5056.4290422454942</v>
      </c>
    </row>
    <row r="176" spans="1:13">
      <c r="A176">
        <v>57225.98</v>
      </c>
      <c r="B176">
        <v>2842</v>
      </c>
      <c r="C176">
        <v>79.5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536545.49</v>
      </c>
      <c r="K176">
        <f t="shared" si="6"/>
        <v>531295.11631815089</v>
      </c>
      <c r="L176">
        <f t="shared" si="7"/>
        <v>5250.3736818491016</v>
      </c>
      <c r="M176">
        <f t="shared" si="8"/>
        <v>5250.3736818491016</v>
      </c>
    </row>
    <row r="177" spans="1:13">
      <c r="A177">
        <v>53351.7</v>
      </c>
      <c r="B177">
        <v>4259</v>
      </c>
      <c r="C177">
        <v>93.7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601568.87</v>
      </c>
      <c r="K177">
        <f t="shared" si="6"/>
        <v>596207.14321943349</v>
      </c>
      <c r="L177">
        <f t="shared" si="7"/>
        <v>5361.7267805665033</v>
      </c>
      <c r="M177">
        <f t="shared" si="8"/>
        <v>5361.7267805665033</v>
      </c>
    </row>
    <row r="178" spans="1:13">
      <c r="A178">
        <v>40220.18</v>
      </c>
      <c r="B178">
        <v>3783</v>
      </c>
      <c r="C178">
        <v>86.6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559422.02</v>
      </c>
      <c r="K178">
        <f t="shared" si="6"/>
        <v>554036.19060015189</v>
      </c>
      <c r="L178">
        <f t="shared" si="7"/>
        <v>5385.829399848124</v>
      </c>
      <c r="M178">
        <f t="shared" si="8"/>
        <v>5385.829399848124</v>
      </c>
    </row>
    <row r="179" spans="1:13">
      <c r="A179">
        <v>45209.25</v>
      </c>
      <c r="B179">
        <v>9287</v>
      </c>
      <c r="C179">
        <v>86.4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751393.88</v>
      </c>
      <c r="K179">
        <f t="shared" si="6"/>
        <v>745737.14791526378</v>
      </c>
      <c r="L179">
        <f t="shared" si="7"/>
        <v>5656.732084736228</v>
      </c>
      <c r="M179">
        <f t="shared" si="8"/>
        <v>5656.732084736228</v>
      </c>
    </row>
    <row r="180" spans="1:13">
      <c r="A180">
        <v>49710.29</v>
      </c>
      <c r="B180">
        <v>5559</v>
      </c>
      <c r="C180">
        <v>71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603297.56999999995</v>
      </c>
      <c r="K180">
        <f t="shared" si="6"/>
        <v>597548.6288863169</v>
      </c>
      <c r="L180">
        <f t="shared" si="7"/>
        <v>5748.9411136830458</v>
      </c>
      <c r="M180">
        <f t="shared" si="8"/>
        <v>5748.9411136830458</v>
      </c>
    </row>
    <row r="181" spans="1:13">
      <c r="A181">
        <v>40462.94</v>
      </c>
      <c r="B181">
        <v>3660</v>
      </c>
      <c r="C181">
        <v>95.2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592195.85</v>
      </c>
      <c r="K181">
        <f t="shared" si="6"/>
        <v>585563.90051128762</v>
      </c>
      <c r="L181">
        <f t="shared" si="7"/>
        <v>6631.9494887123583</v>
      </c>
      <c r="M181">
        <f t="shared" si="8"/>
        <v>6631.9494887123583</v>
      </c>
    </row>
    <row r="182" spans="1:13">
      <c r="A182">
        <v>74413.88</v>
      </c>
      <c r="B182">
        <v>9449</v>
      </c>
      <c r="C182">
        <v>92.1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798952.17</v>
      </c>
      <c r="K182">
        <f t="shared" si="6"/>
        <v>792230.94849707535</v>
      </c>
      <c r="L182">
        <f t="shared" si="7"/>
        <v>6721.2215029246872</v>
      </c>
      <c r="M182">
        <f t="shared" si="8"/>
        <v>6721.2215029246872</v>
      </c>
    </row>
    <row r="183" spans="1:13">
      <c r="A183">
        <v>43685.14</v>
      </c>
      <c r="B183">
        <v>7821</v>
      </c>
      <c r="C183">
        <v>91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714942.43</v>
      </c>
      <c r="K183">
        <f t="shared" si="6"/>
        <v>707909.31887402874</v>
      </c>
      <c r="L183">
        <f t="shared" si="7"/>
        <v>7033.111125971307</v>
      </c>
      <c r="M183">
        <f t="shared" si="8"/>
        <v>7033.111125971307</v>
      </c>
    </row>
    <row r="184" spans="1:13">
      <c r="A184">
        <v>33518.879999999997</v>
      </c>
      <c r="B184">
        <v>2121</v>
      </c>
      <c r="C184">
        <v>88.5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491905.13</v>
      </c>
      <c r="K184">
        <f t="shared" si="6"/>
        <v>484847.76637743041</v>
      </c>
      <c r="L184">
        <f t="shared" si="7"/>
        <v>7057.3636225695955</v>
      </c>
      <c r="M184">
        <f t="shared" si="8"/>
        <v>7057.3636225695955</v>
      </c>
    </row>
    <row r="185" spans="1:13">
      <c r="A185">
        <v>36475.71</v>
      </c>
      <c r="B185">
        <v>3559</v>
      </c>
      <c r="C185">
        <v>83.6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569100.78</v>
      </c>
      <c r="K185">
        <f t="shared" si="6"/>
        <v>561989.88090183295</v>
      </c>
      <c r="L185">
        <f t="shared" si="7"/>
        <v>7110.8990981670795</v>
      </c>
      <c r="M185">
        <f t="shared" si="8"/>
        <v>7110.8990981670795</v>
      </c>
    </row>
    <row r="186" spans="1:13">
      <c r="A186">
        <v>51781.599999999999</v>
      </c>
      <c r="B186">
        <v>5648</v>
      </c>
      <c r="C186">
        <v>85.5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676337.41</v>
      </c>
      <c r="K186">
        <f t="shared" si="6"/>
        <v>668608.51677174808</v>
      </c>
      <c r="L186">
        <f t="shared" si="7"/>
        <v>7728.8932282519527</v>
      </c>
      <c r="M186">
        <f t="shared" si="8"/>
        <v>7728.8932282519527</v>
      </c>
    </row>
    <row r="187" spans="1:13">
      <c r="A187">
        <v>36606.51</v>
      </c>
      <c r="B187">
        <v>7671</v>
      </c>
      <c r="C187">
        <v>89.8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679731.57</v>
      </c>
      <c r="K187">
        <f t="shared" si="6"/>
        <v>671930.05840682704</v>
      </c>
      <c r="L187">
        <f t="shared" si="7"/>
        <v>7801.5115931729088</v>
      </c>
      <c r="M187">
        <f t="shared" si="8"/>
        <v>7801.5115931729088</v>
      </c>
    </row>
    <row r="188" spans="1:13">
      <c r="A188">
        <v>69411.7</v>
      </c>
      <c r="B188">
        <v>5493</v>
      </c>
      <c r="C188">
        <v>86.5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664162.49</v>
      </c>
      <c r="K188">
        <f t="shared" si="6"/>
        <v>656267.37224349356</v>
      </c>
      <c r="L188">
        <f t="shared" si="7"/>
        <v>7895.1177565064281</v>
      </c>
      <c r="M188">
        <f t="shared" si="8"/>
        <v>7895.1177565064281</v>
      </c>
    </row>
    <row r="189" spans="1:13">
      <c r="A189">
        <v>54080.91</v>
      </c>
      <c r="B189">
        <v>7083</v>
      </c>
      <c r="C189">
        <v>97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702068.92</v>
      </c>
      <c r="K189">
        <f t="shared" si="6"/>
        <v>694107.47929815913</v>
      </c>
      <c r="L189">
        <f t="shared" si="7"/>
        <v>7961.4407018409111</v>
      </c>
      <c r="M189">
        <f t="shared" si="8"/>
        <v>7961.4407018409111</v>
      </c>
    </row>
    <row r="190" spans="1:13">
      <c r="A190">
        <v>72784.800000000003</v>
      </c>
      <c r="B190">
        <v>7932</v>
      </c>
      <c r="C190">
        <v>74.900000000000006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712546.38</v>
      </c>
      <c r="K190">
        <f t="shared" si="6"/>
        <v>704572.31100856396</v>
      </c>
      <c r="L190">
        <f t="shared" si="7"/>
        <v>7974.068991436041</v>
      </c>
      <c r="M190">
        <f t="shared" si="8"/>
        <v>7974.068991436041</v>
      </c>
    </row>
    <row r="191" spans="1:13">
      <c r="A191">
        <v>59909.51</v>
      </c>
      <c r="B191">
        <v>8895</v>
      </c>
      <c r="C191">
        <v>88.8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746501.09</v>
      </c>
      <c r="K191">
        <f t="shared" si="6"/>
        <v>738105.50422475208</v>
      </c>
      <c r="L191">
        <f t="shared" si="7"/>
        <v>8395.5857752478914</v>
      </c>
      <c r="M191">
        <f t="shared" si="8"/>
        <v>8395.5857752478914</v>
      </c>
    </row>
    <row r="192" spans="1:13">
      <c r="A192">
        <v>55371.97</v>
      </c>
      <c r="B192">
        <v>4162</v>
      </c>
      <c r="C192">
        <v>92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609949</v>
      </c>
      <c r="K192">
        <f t="shared" si="6"/>
        <v>600865.67137180141</v>
      </c>
      <c r="L192">
        <f t="shared" si="7"/>
        <v>9083.3286281985929</v>
      </c>
      <c r="M192">
        <f t="shared" si="8"/>
        <v>9083.3286281985929</v>
      </c>
    </row>
    <row r="193" spans="1:13">
      <c r="A193">
        <v>71855.09</v>
      </c>
      <c r="B193">
        <v>5911</v>
      </c>
      <c r="C193">
        <v>94.3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725847.99</v>
      </c>
      <c r="K193">
        <f t="shared" si="6"/>
        <v>716670.52023588098</v>
      </c>
      <c r="L193">
        <f t="shared" si="7"/>
        <v>9177.4697641190141</v>
      </c>
      <c r="M193">
        <f t="shared" si="8"/>
        <v>9177.4697641190141</v>
      </c>
    </row>
    <row r="194" spans="1:13">
      <c r="A194">
        <v>68491.11</v>
      </c>
      <c r="B194">
        <v>11154</v>
      </c>
      <c r="C194">
        <v>89.4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855341.28</v>
      </c>
      <c r="K194">
        <f t="shared" ref="K194:K257" si="9">150574.3805
+(1.188357955*A194)
+(33.85981294*B194)
+(2961.270646*C194)
+(-10576.28618*D194)
+(1313.395721*E194)
+(-18934.81748*F194)
+(10756.80055*G194)
+(-12295.38702*H194)
+(-28871.87105*I194)</f>
        <v>845504.41415044002</v>
      </c>
      <c r="L194">
        <f t="shared" ref="L194:L257" si="10">J194-K194</f>
        <v>9836.8658495600102</v>
      </c>
      <c r="M194">
        <f t="shared" ref="M194:M257" si="11">ABS(L194)</f>
        <v>9836.8658495600102</v>
      </c>
    </row>
    <row r="195" spans="1:13">
      <c r="A195">
        <v>60322.400000000001</v>
      </c>
      <c r="B195">
        <v>3350</v>
      </c>
      <c r="C195">
        <v>89.4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570964.84</v>
      </c>
      <c r="K195">
        <f t="shared" si="9"/>
        <v>560978.79627609206</v>
      </c>
      <c r="L195">
        <f t="shared" si="10"/>
        <v>9986.0437239079038</v>
      </c>
      <c r="M195">
        <f t="shared" si="11"/>
        <v>9986.0437239079038</v>
      </c>
    </row>
    <row r="196" spans="1:13">
      <c r="A196">
        <v>47944.14</v>
      </c>
      <c r="B196">
        <v>6169</v>
      </c>
      <c r="C196">
        <v>92.2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670629.48</v>
      </c>
      <c r="K196">
        <f t="shared" si="9"/>
        <v>660587.64920269372</v>
      </c>
      <c r="L196">
        <f t="shared" si="10"/>
        <v>10041.830797306262</v>
      </c>
      <c r="M196">
        <f t="shared" si="11"/>
        <v>10041.830797306262</v>
      </c>
    </row>
    <row r="197" spans="1:13">
      <c r="A197">
        <v>28670.43</v>
      </c>
      <c r="B197">
        <v>7574</v>
      </c>
      <c r="C197">
        <v>82.7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697888.09</v>
      </c>
      <c r="K197">
        <f t="shared" si="9"/>
        <v>687309.81541653071</v>
      </c>
      <c r="L197">
        <f t="shared" si="10"/>
        <v>10578.274583469261</v>
      </c>
      <c r="M197">
        <f t="shared" si="11"/>
        <v>10578.274583469261</v>
      </c>
    </row>
    <row r="198" spans="1:13">
      <c r="A198">
        <v>55101.1</v>
      </c>
      <c r="B198">
        <v>5281</v>
      </c>
      <c r="C198">
        <v>91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675177.68</v>
      </c>
      <c r="K198">
        <f t="shared" si="9"/>
        <v>664343.51193639054</v>
      </c>
      <c r="L198">
        <f t="shared" si="10"/>
        <v>10834.168063609512</v>
      </c>
      <c r="M198">
        <f t="shared" si="11"/>
        <v>10834.168063609512</v>
      </c>
    </row>
    <row r="199" spans="1:13">
      <c r="A199">
        <v>81902.58</v>
      </c>
      <c r="B199">
        <v>7775</v>
      </c>
      <c r="C199">
        <v>85.2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726776.22</v>
      </c>
      <c r="K199">
        <f t="shared" si="9"/>
        <v>715657.57909572392</v>
      </c>
      <c r="L199">
        <f t="shared" si="10"/>
        <v>11118.64090427605</v>
      </c>
      <c r="M199">
        <f t="shared" si="11"/>
        <v>11118.64090427605</v>
      </c>
    </row>
    <row r="200" spans="1:13">
      <c r="A200">
        <v>48060.78</v>
      </c>
      <c r="B200">
        <v>8733</v>
      </c>
      <c r="C200">
        <v>89.9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750471.34</v>
      </c>
      <c r="K200">
        <f t="shared" si="9"/>
        <v>738373.56371692498</v>
      </c>
      <c r="L200">
        <f t="shared" si="10"/>
        <v>12097.776283074985</v>
      </c>
      <c r="M200">
        <f t="shared" si="11"/>
        <v>12097.776283074985</v>
      </c>
    </row>
    <row r="201" spans="1:13">
      <c r="A201">
        <v>60571.82</v>
      </c>
      <c r="B201">
        <v>3193</v>
      </c>
      <c r="C201">
        <v>99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605023.87</v>
      </c>
      <c r="K201">
        <f t="shared" si="9"/>
        <v>592605.35681724804</v>
      </c>
      <c r="L201">
        <f t="shared" si="10"/>
        <v>12418.513182751951</v>
      </c>
      <c r="M201">
        <f t="shared" si="11"/>
        <v>12418.513182751951</v>
      </c>
    </row>
    <row r="202" spans="1:13">
      <c r="A202">
        <v>86026.58</v>
      </c>
      <c r="B202">
        <v>7479</v>
      </c>
      <c r="C202">
        <v>89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771129.07</v>
      </c>
      <c r="K202">
        <f t="shared" si="9"/>
        <v>758613.38835770392</v>
      </c>
      <c r="L202">
        <f t="shared" si="10"/>
        <v>12515.681642296026</v>
      </c>
      <c r="M202">
        <f t="shared" si="11"/>
        <v>12515.681642296026</v>
      </c>
    </row>
    <row r="203" spans="1:13">
      <c r="A203">
        <v>50198.12</v>
      </c>
      <c r="B203">
        <v>6089</v>
      </c>
      <c r="C203">
        <v>94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695098.51</v>
      </c>
      <c r="K203">
        <f t="shared" si="9"/>
        <v>682464.17042370455</v>
      </c>
      <c r="L203">
        <f t="shared" si="10"/>
        <v>12634.339576295461</v>
      </c>
      <c r="M203">
        <f t="shared" si="11"/>
        <v>12634.339576295461</v>
      </c>
    </row>
    <row r="204" spans="1:13">
      <c r="A204">
        <v>55388.11</v>
      </c>
      <c r="B204">
        <v>3091</v>
      </c>
      <c r="C204">
        <v>85.4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574436.29</v>
      </c>
      <c r="K204">
        <f t="shared" si="9"/>
        <v>561653.08957685507</v>
      </c>
      <c r="L204">
        <f t="shared" si="10"/>
        <v>12783.200423144968</v>
      </c>
      <c r="M204">
        <f t="shared" si="11"/>
        <v>12783.200423144968</v>
      </c>
    </row>
    <row r="205" spans="1:13">
      <c r="A205">
        <v>64882.14</v>
      </c>
      <c r="B205">
        <v>3642</v>
      </c>
      <c r="C205">
        <v>87.8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605178</v>
      </c>
      <c r="K205">
        <f t="shared" si="9"/>
        <v>592059.77167270379</v>
      </c>
      <c r="L205">
        <f t="shared" si="10"/>
        <v>13118.228327296209</v>
      </c>
      <c r="M205">
        <f t="shared" si="11"/>
        <v>13118.228327296209</v>
      </c>
    </row>
    <row r="206" spans="1:13">
      <c r="A206">
        <v>69180.539999999994</v>
      </c>
      <c r="B206">
        <v>5394</v>
      </c>
      <c r="C206">
        <v>82.9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674289.1</v>
      </c>
      <c r="K206">
        <f t="shared" si="9"/>
        <v>661095.3074619557</v>
      </c>
      <c r="L206">
        <f t="shared" si="10"/>
        <v>13193.792538044276</v>
      </c>
      <c r="M206">
        <f t="shared" si="11"/>
        <v>13193.792538044276</v>
      </c>
    </row>
    <row r="207" spans="1:13">
      <c r="A207">
        <v>46123.88</v>
      </c>
      <c r="B207">
        <v>3227</v>
      </c>
      <c r="C207">
        <v>75.400000000000006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532644.46</v>
      </c>
      <c r="K207">
        <f t="shared" si="9"/>
        <v>518996.66579924541</v>
      </c>
      <c r="L207">
        <f t="shared" si="10"/>
        <v>13647.79420075455</v>
      </c>
      <c r="M207">
        <f t="shared" si="11"/>
        <v>13647.79420075455</v>
      </c>
    </row>
    <row r="208" spans="1:13">
      <c r="A208">
        <v>53367.73</v>
      </c>
      <c r="B208">
        <v>7291</v>
      </c>
      <c r="C208">
        <v>90.6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712219.81</v>
      </c>
      <c r="K208">
        <f t="shared" si="9"/>
        <v>697927.15915893205</v>
      </c>
      <c r="L208">
        <f t="shared" si="10"/>
        <v>14292.650841068011</v>
      </c>
      <c r="M208">
        <f t="shared" si="11"/>
        <v>14292.650841068011</v>
      </c>
    </row>
    <row r="209" spans="1:13">
      <c r="A209">
        <v>58688.26</v>
      </c>
      <c r="B209">
        <v>4022</v>
      </c>
      <c r="C209">
        <v>93.8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636613.23</v>
      </c>
      <c r="K209">
        <f t="shared" si="9"/>
        <v>621973.00835558819</v>
      </c>
      <c r="L209">
        <f t="shared" si="10"/>
        <v>14640.221644411795</v>
      </c>
      <c r="M209">
        <f t="shared" si="11"/>
        <v>14640.221644411795</v>
      </c>
    </row>
    <row r="210" spans="1:13">
      <c r="A210">
        <v>40923.67</v>
      </c>
      <c r="B210">
        <v>3875</v>
      </c>
      <c r="C210">
        <v>96.1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606783.67000000004</v>
      </c>
      <c r="K210">
        <f t="shared" si="9"/>
        <v>592119.56031539477</v>
      </c>
      <c r="L210">
        <f t="shared" si="10"/>
        <v>14664.109684605268</v>
      </c>
      <c r="M210">
        <f t="shared" si="11"/>
        <v>14664.109684605268</v>
      </c>
    </row>
    <row r="211" spans="1:13">
      <c r="A211">
        <v>42093.84</v>
      </c>
      <c r="B211">
        <v>4074</v>
      </c>
      <c r="C211">
        <v>88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585365.73</v>
      </c>
      <c r="K211">
        <f t="shared" si="9"/>
        <v>570261.75383605715</v>
      </c>
      <c r="L211">
        <f t="shared" si="10"/>
        <v>15103.976163942832</v>
      </c>
      <c r="M211">
        <f t="shared" si="11"/>
        <v>15103.976163942832</v>
      </c>
    </row>
    <row r="212" spans="1:13">
      <c r="A212">
        <v>63457.19</v>
      </c>
      <c r="B212">
        <v>10125</v>
      </c>
      <c r="C212">
        <v>87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810446.53</v>
      </c>
      <c r="K212">
        <f t="shared" si="9"/>
        <v>795215.18475794652</v>
      </c>
      <c r="L212">
        <f t="shared" si="10"/>
        <v>15231.345242053503</v>
      </c>
      <c r="M212">
        <f t="shared" si="11"/>
        <v>15231.345242053503</v>
      </c>
    </row>
    <row r="213" spans="1:13">
      <c r="A213">
        <v>40535.089999999997</v>
      </c>
      <c r="B213">
        <v>8870</v>
      </c>
      <c r="C213">
        <v>86.6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781955.52</v>
      </c>
      <c r="K213">
        <f t="shared" si="9"/>
        <v>766283.95642954088</v>
      </c>
      <c r="L213">
        <f t="shared" si="10"/>
        <v>15671.56357045914</v>
      </c>
      <c r="M213">
        <f t="shared" si="11"/>
        <v>15671.56357045914</v>
      </c>
    </row>
    <row r="214" spans="1:13">
      <c r="A214">
        <v>82116.19</v>
      </c>
      <c r="B214">
        <v>5988</v>
      </c>
      <c r="C214">
        <v>91.8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739852.58</v>
      </c>
      <c r="K214">
        <f t="shared" si="9"/>
        <v>724068.4090293115</v>
      </c>
      <c r="L214">
        <f t="shared" si="10"/>
        <v>15784.170970688458</v>
      </c>
      <c r="M214">
        <f t="shared" si="11"/>
        <v>15784.170970688458</v>
      </c>
    </row>
    <row r="215" spans="1:13">
      <c r="A215">
        <v>48287.85</v>
      </c>
      <c r="B215">
        <v>5150</v>
      </c>
      <c r="C215">
        <v>80.400000000000006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625672.86</v>
      </c>
      <c r="K215">
        <f t="shared" si="9"/>
        <v>609845.54157674673</v>
      </c>
      <c r="L215">
        <f t="shared" si="10"/>
        <v>15827.318423253251</v>
      </c>
      <c r="M215">
        <f t="shared" si="11"/>
        <v>15827.318423253251</v>
      </c>
    </row>
    <row r="216" spans="1:13">
      <c r="A216">
        <v>75412.740000000005</v>
      </c>
      <c r="B216">
        <v>5641</v>
      </c>
      <c r="C216">
        <v>87.9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720079.54</v>
      </c>
      <c r="K216">
        <f t="shared" si="9"/>
        <v>703560.80083628686</v>
      </c>
      <c r="L216">
        <f t="shared" si="10"/>
        <v>16518.73916371318</v>
      </c>
      <c r="M216">
        <f t="shared" si="11"/>
        <v>16518.73916371318</v>
      </c>
    </row>
    <row r="217" spans="1:13">
      <c r="A217">
        <v>45706.49</v>
      </c>
      <c r="B217">
        <v>6704</v>
      </c>
      <c r="C217">
        <v>94.2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715097.57</v>
      </c>
      <c r="K217">
        <f t="shared" si="9"/>
        <v>698542.54526958789</v>
      </c>
      <c r="L217">
        <f t="shared" si="10"/>
        <v>16555.024730412057</v>
      </c>
      <c r="M217">
        <f t="shared" si="11"/>
        <v>16555.024730412057</v>
      </c>
    </row>
    <row r="218" spans="1:13">
      <c r="A218">
        <v>55788.61</v>
      </c>
      <c r="B218">
        <v>2312</v>
      </c>
      <c r="C218">
        <v>91.3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550962.93000000005</v>
      </c>
      <c r="K218">
        <f t="shared" si="9"/>
        <v>534288.91198897245</v>
      </c>
      <c r="L218">
        <f t="shared" si="10"/>
        <v>16674.018011027598</v>
      </c>
      <c r="M218">
        <f t="shared" si="11"/>
        <v>16674.018011027598</v>
      </c>
    </row>
    <row r="219" spans="1:13">
      <c r="A219">
        <v>64374.75</v>
      </c>
      <c r="B219">
        <v>6740</v>
      </c>
      <c r="C219">
        <v>87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698492.67</v>
      </c>
      <c r="K219">
        <f t="shared" si="9"/>
        <v>681690.10768123623</v>
      </c>
      <c r="L219">
        <f t="shared" si="10"/>
        <v>16802.562318763812</v>
      </c>
      <c r="M219">
        <f t="shared" si="11"/>
        <v>16802.562318763812</v>
      </c>
    </row>
    <row r="220" spans="1:13">
      <c r="A220">
        <v>47391.09</v>
      </c>
      <c r="B220">
        <v>11224</v>
      </c>
      <c r="C220">
        <v>88.4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836908.24</v>
      </c>
      <c r="K220">
        <f t="shared" si="9"/>
        <v>819838.95379258087</v>
      </c>
      <c r="L220">
        <f t="shared" si="10"/>
        <v>17069.286207419122</v>
      </c>
      <c r="M220">
        <f t="shared" si="11"/>
        <v>17069.286207419122</v>
      </c>
    </row>
    <row r="221" spans="1:13">
      <c r="A221">
        <v>66104.19</v>
      </c>
      <c r="B221">
        <v>5745</v>
      </c>
      <c r="C221">
        <v>95.8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714083.68</v>
      </c>
      <c r="K221">
        <f t="shared" si="9"/>
        <v>696362.18247343146</v>
      </c>
      <c r="L221">
        <f t="shared" si="10"/>
        <v>17721.497526568593</v>
      </c>
      <c r="M221">
        <f t="shared" si="11"/>
        <v>17721.497526568593</v>
      </c>
    </row>
    <row r="222" spans="1:13">
      <c r="A222">
        <v>62582.71</v>
      </c>
      <c r="B222">
        <v>5479</v>
      </c>
      <c r="C222">
        <v>81.2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640666.53</v>
      </c>
      <c r="K222">
        <f t="shared" si="9"/>
        <v>622046.26227741805</v>
      </c>
      <c r="L222">
        <f t="shared" si="10"/>
        <v>18620.267722581979</v>
      </c>
      <c r="M222">
        <f t="shared" si="11"/>
        <v>18620.267722581979</v>
      </c>
    </row>
    <row r="223" spans="1:13">
      <c r="A223">
        <v>27398.28</v>
      </c>
      <c r="B223">
        <v>1723</v>
      </c>
      <c r="C223">
        <v>81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487738.26</v>
      </c>
      <c r="K223">
        <f t="shared" si="9"/>
        <v>469041.33749293734</v>
      </c>
      <c r="L223">
        <f t="shared" si="10"/>
        <v>18696.922507062671</v>
      </c>
      <c r="M223">
        <f t="shared" si="11"/>
        <v>18696.922507062671</v>
      </c>
    </row>
    <row r="224" spans="1:13">
      <c r="A224">
        <v>76942.2</v>
      </c>
      <c r="B224">
        <v>8934</v>
      </c>
      <c r="C224">
        <v>91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802001.68</v>
      </c>
      <c r="K224">
        <f t="shared" si="9"/>
        <v>782758.249037161</v>
      </c>
      <c r="L224">
        <f t="shared" si="10"/>
        <v>19243.430962839047</v>
      </c>
      <c r="M224">
        <f t="shared" si="11"/>
        <v>19243.430962839047</v>
      </c>
    </row>
    <row r="225" spans="1:13">
      <c r="A225">
        <v>44211.95</v>
      </c>
      <c r="B225">
        <v>5465</v>
      </c>
      <c r="C225">
        <v>90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646559.71</v>
      </c>
      <c r="K225">
        <f t="shared" si="9"/>
        <v>627113.76351666229</v>
      </c>
      <c r="L225">
        <f t="shared" si="10"/>
        <v>19445.94648333767</v>
      </c>
      <c r="M225">
        <f t="shared" si="11"/>
        <v>19445.94648333767</v>
      </c>
    </row>
    <row r="226" spans="1:13">
      <c r="A226">
        <v>63176.73</v>
      </c>
      <c r="B226">
        <v>2390</v>
      </c>
      <c r="C226">
        <v>87.5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537383.79</v>
      </c>
      <c r="K226">
        <f t="shared" si="9"/>
        <v>517880.39608798717</v>
      </c>
      <c r="L226">
        <f t="shared" si="10"/>
        <v>19503.393912012863</v>
      </c>
      <c r="M226">
        <f t="shared" si="11"/>
        <v>19503.393912012863</v>
      </c>
    </row>
    <row r="227" spans="1:13">
      <c r="A227">
        <v>47093.55</v>
      </c>
      <c r="B227">
        <v>5550</v>
      </c>
      <c r="C227">
        <v>95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696744.15</v>
      </c>
      <c r="K227">
        <f t="shared" si="9"/>
        <v>677094.44417969033</v>
      </c>
      <c r="L227">
        <f t="shared" si="10"/>
        <v>19649.705820309697</v>
      </c>
      <c r="M227">
        <f t="shared" si="11"/>
        <v>19649.705820309697</v>
      </c>
    </row>
    <row r="228" spans="1:13">
      <c r="A228">
        <v>62060.43</v>
      </c>
      <c r="B228">
        <v>2613</v>
      </c>
      <c r="C228">
        <v>92.1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565810.99</v>
      </c>
      <c r="K228">
        <f t="shared" si="9"/>
        <v>546084.94666004064</v>
      </c>
      <c r="L228">
        <f t="shared" si="10"/>
        <v>19726.043339959346</v>
      </c>
      <c r="M228">
        <f t="shared" si="11"/>
        <v>19726.043339959346</v>
      </c>
    </row>
    <row r="229" spans="1:13">
      <c r="A229">
        <v>97480.94</v>
      </c>
      <c r="B229">
        <v>6840</v>
      </c>
      <c r="C229">
        <v>79.2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729440.45</v>
      </c>
      <c r="K229">
        <f t="shared" si="9"/>
        <v>709678.71348267759</v>
      </c>
      <c r="L229">
        <f t="shared" si="10"/>
        <v>19761.736517322366</v>
      </c>
      <c r="M229">
        <f t="shared" si="11"/>
        <v>19761.736517322366</v>
      </c>
    </row>
    <row r="230" spans="1:13">
      <c r="A230">
        <v>46213.45</v>
      </c>
      <c r="B230">
        <v>10616</v>
      </c>
      <c r="C230">
        <v>85.2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806615.54</v>
      </c>
      <c r="K230">
        <f t="shared" si="9"/>
        <v>786018.33014573471</v>
      </c>
      <c r="L230">
        <f t="shared" si="10"/>
        <v>20597.209854265326</v>
      </c>
      <c r="M230">
        <f t="shared" si="11"/>
        <v>20597.209854265326</v>
      </c>
    </row>
    <row r="231" spans="1:13">
      <c r="A231">
        <v>31207.51</v>
      </c>
      <c r="B231">
        <v>3701</v>
      </c>
      <c r="C231">
        <v>84.7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586307.22</v>
      </c>
      <c r="K231">
        <f t="shared" si="9"/>
        <v>565108.26039238204</v>
      </c>
      <c r="L231">
        <f t="shared" si="10"/>
        <v>21198.95960761793</v>
      </c>
      <c r="M231">
        <f t="shared" si="11"/>
        <v>21198.95960761793</v>
      </c>
    </row>
    <row r="232" spans="1:13">
      <c r="A232">
        <v>57147.88</v>
      </c>
      <c r="B232">
        <v>5252</v>
      </c>
      <c r="C232">
        <v>95.5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678311.17</v>
      </c>
      <c r="K232">
        <f t="shared" si="9"/>
        <v>656247.9293632654</v>
      </c>
      <c r="L232">
        <f t="shared" si="10"/>
        <v>22063.240636734641</v>
      </c>
      <c r="M232">
        <f t="shared" si="11"/>
        <v>22063.240636734641</v>
      </c>
    </row>
    <row r="233" spans="1:13">
      <c r="A233">
        <v>39341.449999999997</v>
      </c>
      <c r="B233">
        <v>1375</v>
      </c>
      <c r="C233">
        <v>95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529598.93999999994</v>
      </c>
      <c r="K233">
        <f t="shared" si="9"/>
        <v>506269.24225123477</v>
      </c>
      <c r="L233">
        <f t="shared" si="10"/>
        <v>23329.697748765175</v>
      </c>
      <c r="M233">
        <f t="shared" si="11"/>
        <v>23329.697748765175</v>
      </c>
    </row>
    <row r="234" spans="1:13">
      <c r="A234">
        <v>65237.79</v>
      </c>
      <c r="B234">
        <v>8741</v>
      </c>
      <c r="C234">
        <v>94.4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780344.18</v>
      </c>
      <c r="K234">
        <f t="shared" si="9"/>
        <v>755806.11257405952</v>
      </c>
      <c r="L234">
        <f t="shared" si="10"/>
        <v>24538.067425940535</v>
      </c>
      <c r="M234">
        <f t="shared" si="11"/>
        <v>24538.067425940535</v>
      </c>
    </row>
    <row r="235" spans="1:13">
      <c r="A235">
        <v>46201.46</v>
      </c>
      <c r="B235">
        <v>5918</v>
      </c>
      <c r="C235">
        <v>78.8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616069.41</v>
      </c>
      <c r="K235">
        <f t="shared" si="9"/>
        <v>591402.06437733432</v>
      </c>
      <c r="L235">
        <f t="shared" si="10"/>
        <v>24667.345622665714</v>
      </c>
      <c r="M235">
        <f t="shared" si="11"/>
        <v>24667.345622665714</v>
      </c>
    </row>
    <row r="236" spans="1:13">
      <c r="A236">
        <v>68212.289999999994</v>
      </c>
      <c r="B236">
        <v>4713</v>
      </c>
      <c r="C236">
        <v>82.6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641564.6</v>
      </c>
      <c r="K236">
        <f t="shared" si="9"/>
        <v>616882.43421608699</v>
      </c>
      <c r="L236">
        <f t="shared" si="10"/>
        <v>24682.165783912991</v>
      </c>
      <c r="M236">
        <f t="shared" si="11"/>
        <v>24682.165783912991</v>
      </c>
    </row>
    <row r="237" spans="1:13">
      <c r="A237">
        <v>61426.04</v>
      </c>
      <c r="B237">
        <v>8966</v>
      </c>
      <c r="C237">
        <v>76.400000000000006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778397.97</v>
      </c>
      <c r="K237">
        <f t="shared" si="9"/>
        <v>753398.6639525881</v>
      </c>
      <c r="L237">
        <f t="shared" si="10"/>
        <v>24999.306047411868</v>
      </c>
      <c r="M237">
        <f t="shared" si="11"/>
        <v>24999.306047411868</v>
      </c>
    </row>
    <row r="238" spans="1:13">
      <c r="A238">
        <v>57919.07</v>
      </c>
      <c r="B238">
        <v>7374</v>
      </c>
      <c r="C238">
        <v>82.3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727227.2</v>
      </c>
      <c r="K238">
        <f t="shared" si="9"/>
        <v>700502.41584606178</v>
      </c>
      <c r="L238">
        <f t="shared" si="10"/>
        <v>26724.784153938177</v>
      </c>
      <c r="M238">
        <f t="shared" si="11"/>
        <v>26724.784153938177</v>
      </c>
    </row>
    <row r="239" spans="1:13">
      <c r="A239">
        <v>50517.94</v>
      </c>
      <c r="B239">
        <v>7024</v>
      </c>
      <c r="C239">
        <v>79.2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711213.46</v>
      </c>
      <c r="K239">
        <f t="shared" si="9"/>
        <v>684285.13334397273</v>
      </c>
      <c r="L239">
        <f t="shared" si="10"/>
        <v>26928.326656027231</v>
      </c>
      <c r="M239">
        <f t="shared" si="11"/>
        <v>26928.326656027231</v>
      </c>
    </row>
    <row r="240" spans="1:13">
      <c r="A240">
        <v>80176.34</v>
      </c>
      <c r="B240">
        <v>9489</v>
      </c>
      <c r="C240">
        <v>94.3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873380.02</v>
      </c>
      <c r="K240">
        <f t="shared" si="9"/>
        <v>846396.15884724469</v>
      </c>
      <c r="L240">
        <f t="shared" si="10"/>
        <v>26983.861152755329</v>
      </c>
      <c r="M240">
        <f t="shared" si="11"/>
        <v>26983.861152755329</v>
      </c>
    </row>
    <row r="241" spans="1:13">
      <c r="A241">
        <v>24088.06</v>
      </c>
      <c r="B241">
        <v>3466</v>
      </c>
      <c r="C241">
        <v>88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536845.42000000004</v>
      </c>
      <c r="K241">
        <f t="shared" si="9"/>
        <v>509342.85818955739</v>
      </c>
      <c r="L241">
        <f t="shared" si="10"/>
        <v>27502.561810442654</v>
      </c>
      <c r="M241">
        <f t="shared" si="11"/>
        <v>27502.561810442654</v>
      </c>
    </row>
    <row r="242" spans="1:13">
      <c r="A242">
        <v>56602.39</v>
      </c>
      <c r="B242">
        <v>7969</v>
      </c>
      <c r="C242">
        <v>88.3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745580.51</v>
      </c>
      <c r="K242">
        <f t="shared" si="9"/>
        <v>717917.12378917239</v>
      </c>
      <c r="L242">
        <f t="shared" si="10"/>
        <v>27663.386210827623</v>
      </c>
      <c r="M242">
        <f t="shared" si="11"/>
        <v>27663.386210827623</v>
      </c>
    </row>
    <row r="243" spans="1:13">
      <c r="A243">
        <v>99874.01</v>
      </c>
      <c r="B243">
        <v>5887</v>
      </c>
      <c r="C243">
        <v>88.7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746677.75</v>
      </c>
      <c r="K243">
        <f t="shared" si="9"/>
        <v>718962.49283922953</v>
      </c>
      <c r="L243">
        <f t="shared" si="10"/>
        <v>27715.257160770474</v>
      </c>
      <c r="M243">
        <f t="shared" si="11"/>
        <v>27715.257160770474</v>
      </c>
    </row>
    <row r="244" spans="1:13">
      <c r="A244">
        <v>17562.57</v>
      </c>
      <c r="B244">
        <v>3326</v>
      </c>
      <c r="C244">
        <v>88.1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561597.32999999996</v>
      </c>
      <c r="K244">
        <f t="shared" si="9"/>
        <v>532655.29500078433</v>
      </c>
      <c r="L244">
        <f t="shared" si="10"/>
        <v>28942.034999215626</v>
      </c>
      <c r="M244">
        <f t="shared" si="11"/>
        <v>28942.034999215626</v>
      </c>
    </row>
    <row r="245" spans="1:13">
      <c r="A245">
        <v>66250.53</v>
      </c>
      <c r="B245">
        <v>10618</v>
      </c>
      <c r="C245">
        <v>88.3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849018.3</v>
      </c>
      <c r="K245">
        <f t="shared" si="9"/>
        <v>819077.21218718612</v>
      </c>
      <c r="L245">
        <f t="shared" si="10"/>
        <v>29941.08781281393</v>
      </c>
      <c r="M245">
        <f t="shared" si="11"/>
        <v>29941.08781281393</v>
      </c>
    </row>
    <row r="246" spans="1:13">
      <c r="A246">
        <v>25818.080000000002</v>
      </c>
      <c r="B246">
        <v>5457</v>
      </c>
      <c r="C246">
        <v>95.4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647512.85</v>
      </c>
      <c r="K246">
        <f t="shared" si="9"/>
        <v>617303.51559280639</v>
      </c>
      <c r="L246">
        <f t="shared" si="10"/>
        <v>30209.334407193586</v>
      </c>
      <c r="M246">
        <f t="shared" si="11"/>
        <v>30209.334407193586</v>
      </c>
    </row>
    <row r="247" spans="1:13">
      <c r="A247">
        <v>54872.82</v>
      </c>
      <c r="B247">
        <v>5962</v>
      </c>
      <c r="C247">
        <v>85.4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691112.6</v>
      </c>
      <c r="K247">
        <f t="shared" si="9"/>
        <v>659565.6592779631</v>
      </c>
      <c r="L247">
        <f t="shared" si="10"/>
        <v>31546.940722036874</v>
      </c>
      <c r="M247">
        <f t="shared" si="11"/>
        <v>31546.940722036874</v>
      </c>
    </row>
    <row r="248" spans="1:13">
      <c r="A248">
        <v>90084.4</v>
      </c>
      <c r="B248">
        <v>6832</v>
      </c>
      <c r="C248">
        <v>80.5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740102.64</v>
      </c>
      <c r="K248">
        <f t="shared" si="9"/>
        <v>708404.605390482</v>
      </c>
      <c r="L248">
        <f t="shared" si="10"/>
        <v>31698.034609518014</v>
      </c>
      <c r="M248">
        <f t="shared" si="11"/>
        <v>31698.034609518014</v>
      </c>
    </row>
    <row r="249" spans="1:13">
      <c r="A249">
        <v>58785.33</v>
      </c>
      <c r="B249">
        <v>4467</v>
      </c>
      <c r="C249">
        <v>90.7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673348.56</v>
      </c>
      <c r="K249">
        <f t="shared" si="9"/>
        <v>640451.94140798016</v>
      </c>
      <c r="L249">
        <f t="shared" si="10"/>
        <v>32896.618592019891</v>
      </c>
      <c r="M249">
        <f t="shared" si="11"/>
        <v>32896.618592019891</v>
      </c>
    </row>
    <row r="250" spans="1:13">
      <c r="A250">
        <v>62507.16</v>
      </c>
      <c r="B250">
        <v>6000</v>
      </c>
      <c r="C250">
        <v>98.2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712375.77</v>
      </c>
      <c r="K250">
        <f t="shared" si="9"/>
        <v>679362.75917765778</v>
      </c>
      <c r="L250">
        <f t="shared" si="10"/>
        <v>33013.010822342243</v>
      </c>
      <c r="M250">
        <f t="shared" si="11"/>
        <v>33013.010822342243</v>
      </c>
    </row>
    <row r="251" spans="1:13">
      <c r="A251">
        <v>73454.539999999994</v>
      </c>
      <c r="B251">
        <v>8129</v>
      </c>
      <c r="C251">
        <v>85.2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767792.94</v>
      </c>
      <c r="K251">
        <f t="shared" si="9"/>
        <v>734181.14136832568</v>
      </c>
      <c r="L251">
        <f t="shared" si="10"/>
        <v>33611.798631674261</v>
      </c>
      <c r="M251">
        <f t="shared" si="11"/>
        <v>33611.798631674261</v>
      </c>
    </row>
    <row r="252" spans="1:13">
      <c r="A252">
        <v>75265.02</v>
      </c>
      <c r="B252">
        <v>6975</v>
      </c>
      <c r="C252">
        <v>73.8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709478.39</v>
      </c>
      <c r="K252">
        <f t="shared" si="9"/>
        <v>675795.31720153405</v>
      </c>
      <c r="L252">
        <f t="shared" si="10"/>
        <v>33683.072798465961</v>
      </c>
      <c r="M252">
        <f t="shared" si="11"/>
        <v>33683.072798465961</v>
      </c>
    </row>
    <row r="253" spans="1:13">
      <c r="A253">
        <v>75109.67</v>
      </c>
      <c r="B253">
        <v>6244</v>
      </c>
      <c r="C253">
        <v>96.3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743348.84</v>
      </c>
      <c r="K253">
        <f t="shared" si="9"/>
        <v>708864.11422008486</v>
      </c>
      <c r="L253">
        <f t="shared" si="10"/>
        <v>34484.725779915112</v>
      </c>
      <c r="M253">
        <f t="shared" si="11"/>
        <v>34484.725779915112</v>
      </c>
    </row>
    <row r="254" spans="1:13">
      <c r="A254">
        <v>78967.520000000004</v>
      </c>
      <c r="B254">
        <v>6164</v>
      </c>
      <c r="C254">
        <v>85.5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702052.47</v>
      </c>
      <c r="K254">
        <f t="shared" si="9"/>
        <v>666868.43104378157</v>
      </c>
      <c r="L254">
        <f t="shared" si="10"/>
        <v>35184.038956218399</v>
      </c>
      <c r="M254">
        <f t="shared" si="11"/>
        <v>35184.038956218399</v>
      </c>
    </row>
    <row r="255" spans="1:13">
      <c r="A255">
        <v>65312.49</v>
      </c>
      <c r="B255">
        <v>7189</v>
      </c>
      <c r="C255">
        <v>93.7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773815.14</v>
      </c>
      <c r="K255">
        <f t="shared" si="9"/>
        <v>738501.96612821799</v>
      </c>
      <c r="L255">
        <f t="shared" si="10"/>
        <v>35313.173871782026</v>
      </c>
      <c r="M255">
        <f t="shared" si="11"/>
        <v>35313.173871782026</v>
      </c>
    </row>
    <row r="256" spans="1:13">
      <c r="A256">
        <v>50043.65</v>
      </c>
      <c r="B256">
        <v>3804</v>
      </c>
      <c r="C256">
        <v>90.9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614800.09</v>
      </c>
      <c r="K256">
        <f t="shared" si="9"/>
        <v>579154.50916989578</v>
      </c>
      <c r="L256">
        <f t="shared" si="10"/>
        <v>35645.580830104183</v>
      </c>
      <c r="M256">
        <f t="shared" si="11"/>
        <v>35645.580830104183</v>
      </c>
    </row>
    <row r="257" spans="1:13">
      <c r="A257">
        <v>51430.31</v>
      </c>
      <c r="B257">
        <v>6427</v>
      </c>
      <c r="C257">
        <v>88.8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715890.53</v>
      </c>
      <c r="K257">
        <f t="shared" si="9"/>
        <v>679974.46262679598</v>
      </c>
      <c r="L257">
        <f t="shared" si="10"/>
        <v>35916.067373204045</v>
      </c>
      <c r="M257">
        <f t="shared" si="11"/>
        <v>35916.067373204045</v>
      </c>
    </row>
    <row r="258" spans="1:13">
      <c r="A258">
        <v>66456.28</v>
      </c>
      <c r="B258">
        <v>9967</v>
      </c>
      <c r="C258">
        <v>94.7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844710.67</v>
      </c>
      <c r="K258">
        <f t="shared" ref="K258:K321" si="12">150574.3805
+(1.188357955*A258)
+(33.85981294*B258)
+(2961.270646*C258)
+(-10576.28618*D258)
+(1313.395721*E258)
+(-18934.81748*F258)
+(10756.80055*G258)
+(-12295.38702*H258)
+(-28871.87105*I258)</f>
        <v>808013.15801688738</v>
      </c>
      <c r="L258">
        <f t="shared" ref="L258:L321" si="13">J258-K258</f>
        <v>36697.511983112665</v>
      </c>
      <c r="M258">
        <f t="shared" ref="M258:M321" si="14">ABS(L258)</f>
        <v>36697.511983112665</v>
      </c>
    </row>
    <row r="259" spans="1:13">
      <c r="A259">
        <v>42267.37</v>
      </c>
      <c r="B259">
        <v>3364</v>
      </c>
      <c r="C259">
        <v>82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555929.4</v>
      </c>
      <c r="K259">
        <f t="shared" si="12"/>
        <v>518083.59234858822</v>
      </c>
      <c r="L259">
        <f t="shared" si="13"/>
        <v>37845.8076514118</v>
      </c>
      <c r="M259">
        <f t="shared" si="14"/>
        <v>37845.8076514118</v>
      </c>
    </row>
    <row r="260" spans="1:13">
      <c r="A260">
        <v>83044.17</v>
      </c>
      <c r="B260">
        <v>3694</v>
      </c>
      <c r="C260">
        <v>89.4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654317.09</v>
      </c>
      <c r="K260">
        <f t="shared" si="12"/>
        <v>616204.65208863234</v>
      </c>
      <c r="L260">
        <f t="shared" si="13"/>
        <v>38112.437911367626</v>
      </c>
      <c r="M260">
        <f t="shared" si="14"/>
        <v>38112.437911367626</v>
      </c>
    </row>
    <row r="261" spans="1:13">
      <c r="A261">
        <v>36832.33</v>
      </c>
      <c r="B261">
        <v>8001</v>
      </c>
      <c r="C261">
        <v>88.7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738548.42</v>
      </c>
      <c r="K261">
        <f t="shared" si="12"/>
        <v>700362.96716082527</v>
      </c>
      <c r="L261">
        <f t="shared" si="13"/>
        <v>38185.452839174774</v>
      </c>
      <c r="M261">
        <f t="shared" si="14"/>
        <v>38185.452839174774</v>
      </c>
    </row>
    <row r="262" spans="1:13">
      <c r="A262">
        <v>54948.02</v>
      </c>
      <c r="B262">
        <v>6534</v>
      </c>
      <c r="C262">
        <v>94.5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727957.48</v>
      </c>
      <c r="K262">
        <f t="shared" si="12"/>
        <v>689393.91564645921</v>
      </c>
      <c r="L262">
        <f t="shared" si="13"/>
        <v>38563.564353540773</v>
      </c>
      <c r="M262">
        <f t="shared" si="14"/>
        <v>38563.564353540773</v>
      </c>
    </row>
    <row r="263" spans="1:13">
      <c r="A263">
        <v>81195.5</v>
      </c>
      <c r="B263">
        <v>5516</v>
      </c>
      <c r="C263">
        <v>88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720852.5</v>
      </c>
      <c r="K263">
        <f t="shared" si="12"/>
        <v>682130.8568402424</v>
      </c>
      <c r="L263">
        <f t="shared" si="13"/>
        <v>38721.643159757601</v>
      </c>
      <c r="M263">
        <f t="shared" si="14"/>
        <v>38721.643159757601</v>
      </c>
    </row>
    <row r="264" spans="1:13">
      <c r="A264">
        <v>44034.6</v>
      </c>
      <c r="B264">
        <v>5645</v>
      </c>
      <c r="C264">
        <v>88.5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682639.28</v>
      </c>
      <c r="K264">
        <f t="shared" si="12"/>
        <v>643818.95690254297</v>
      </c>
      <c r="L264">
        <f t="shared" si="13"/>
        <v>38820.323097457062</v>
      </c>
      <c r="M264">
        <f t="shared" si="14"/>
        <v>38820.323097457062</v>
      </c>
    </row>
    <row r="265" spans="1:13">
      <c r="A265">
        <v>72150.53</v>
      </c>
      <c r="B265">
        <v>9323</v>
      </c>
      <c r="C265">
        <v>82.9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825797.91</v>
      </c>
      <c r="K265">
        <f t="shared" si="12"/>
        <v>786903.12319598615</v>
      </c>
      <c r="L265">
        <f t="shared" si="13"/>
        <v>38894.786804013886</v>
      </c>
      <c r="M265">
        <f t="shared" si="14"/>
        <v>38894.786804013886</v>
      </c>
    </row>
    <row r="266" spans="1:13">
      <c r="A266">
        <v>74954.47</v>
      </c>
      <c r="B266">
        <v>6620</v>
      </c>
      <c r="C266">
        <v>91.1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761860.19</v>
      </c>
      <c r="K266">
        <f t="shared" si="12"/>
        <v>722588.84740170883</v>
      </c>
      <c r="L266">
        <f t="shared" si="13"/>
        <v>39271.342598291114</v>
      </c>
      <c r="M266">
        <f t="shared" si="14"/>
        <v>39271.342598291114</v>
      </c>
    </row>
    <row r="267" spans="1:13">
      <c r="A267">
        <v>38397.82</v>
      </c>
      <c r="B267">
        <v>7836</v>
      </c>
      <c r="C267">
        <v>92.2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776110.32</v>
      </c>
      <c r="K267">
        <f t="shared" si="12"/>
        <v>735872.77883169812</v>
      </c>
      <c r="L267">
        <f t="shared" si="13"/>
        <v>40237.541168301832</v>
      </c>
      <c r="M267">
        <f t="shared" si="14"/>
        <v>40237.541168301832</v>
      </c>
    </row>
    <row r="268" spans="1:13">
      <c r="A268">
        <v>70012.41</v>
      </c>
      <c r="B268">
        <v>8484</v>
      </c>
      <c r="C268">
        <v>72.900000000000006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729424.42</v>
      </c>
      <c r="K268">
        <f t="shared" si="12"/>
        <v>689110.77941858163</v>
      </c>
      <c r="L268">
        <f t="shared" si="13"/>
        <v>40313.640581418411</v>
      </c>
      <c r="M268">
        <f t="shared" si="14"/>
        <v>40313.640581418411</v>
      </c>
    </row>
    <row r="269" spans="1:13">
      <c r="A269">
        <v>80562.81</v>
      </c>
      <c r="B269">
        <v>7470</v>
      </c>
      <c r="C269">
        <v>83.5</v>
      </c>
      <c r="D269">
        <v>0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776922.17</v>
      </c>
      <c r="K269">
        <f t="shared" si="12"/>
        <v>735528.74694445345</v>
      </c>
      <c r="L269">
        <f t="shared" si="13"/>
        <v>41393.423055546591</v>
      </c>
      <c r="M269">
        <f t="shared" si="14"/>
        <v>41393.423055546591</v>
      </c>
    </row>
    <row r="270" spans="1:13">
      <c r="A270">
        <v>67722.289999999994</v>
      </c>
      <c r="B270">
        <v>7240</v>
      </c>
      <c r="C270">
        <v>92.9</v>
      </c>
      <c r="D270">
        <v>0</v>
      </c>
      <c r="E270">
        <v>0</v>
      </c>
      <c r="F270">
        <v>1</v>
      </c>
      <c r="G270">
        <v>0</v>
      </c>
      <c r="H270">
        <v>1</v>
      </c>
      <c r="I270">
        <v>0</v>
      </c>
      <c r="J270">
        <v>762328.31</v>
      </c>
      <c r="K270">
        <f t="shared" si="12"/>
        <v>720069.58675131691</v>
      </c>
      <c r="L270">
        <f t="shared" si="13"/>
        <v>42258.723248683149</v>
      </c>
      <c r="M270">
        <f t="shared" si="14"/>
        <v>42258.723248683149</v>
      </c>
    </row>
    <row r="271" spans="1:13">
      <c r="A271">
        <v>50887.46</v>
      </c>
      <c r="B271">
        <v>9505</v>
      </c>
      <c r="C271">
        <v>89.7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812152.6</v>
      </c>
      <c r="K271">
        <f t="shared" si="12"/>
        <v>769638.52629164432</v>
      </c>
      <c r="L271">
        <f t="shared" si="13"/>
        <v>42514.07370835566</v>
      </c>
      <c r="M271">
        <f t="shared" si="14"/>
        <v>42514.07370835566</v>
      </c>
    </row>
    <row r="272" spans="1:13">
      <c r="A272">
        <v>37284.660000000003</v>
      </c>
      <c r="B272">
        <v>3928</v>
      </c>
      <c r="C272">
        <v>86.5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615966.48</v>
      </c>
      <c r="K272">
        <f t="shared" si="12"/>
        <v>573051.16761879029</v>
      </c>
      <c r="L272">
        <f t="shared" si="13"/>
        <v>42915.312381209689</v>
      </c>
      <c r="M272">
        <f t="shared" si="14"/>
        <v>42915.312381209689</v>
      </c>
    </row>
    <row r="273" spans="1:13">
      <c r="A273">
        <v>60628.38</v>
      </c>
      <c r="B273">
        <v>4451</v>
      </c>
      <c r="C273">
        <v>89.6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682208.01</v>
      </c>
      <c r="K273">
        <f t="shared" si="12"/>
        <v>638662.47544930293</v>
      </c>
      <c r="L273">
        <f t="shared" si="13"/>
        <v>43545.534550697077</v>
      </c>
      <c r="M273">
        <f t="shared" si="14"/>
        <v>43545.534550697077</v>
      </c>
    </row>
    <row r="274" spans="1:13">
      <c r="A274">
        <v>55081.16</v>
      </c>
      <c r="B274">
        <v>5485</v>
      </c>
      <c r="C274">
        <v>88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674774.09</v>
      </c>
      <c r="K274">
        <f t="shared" si="12"/>
        <v>631113.20148052787</v>
      </c>
      <c r="L274">
        <f t="shared" si="13"/>
        <v>43660.888519472093</v>
      </c>
      <c r="M274">
        <f t="shared" si="14"/>
        <v>43660.888519472093</v>
      </c>
    </row>
    <row r="275" spans="1:13">
      <c r="A275">
        <v>74881.56</v>
      </c>
      <c r="B275">
        <v>9999</v>
      </c>
      <c r="C275">
        <v>89.6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898031.04</v>
      </c>
      <c r="K275">
        <f t="shared" si="12"/>
        <v>854211.39802746975</v>
      </c>
      <c r="L275">
        <f t="shared" si="13"/>
        <v>43819.641972530284</v>
      </c>
      <c r="M275">
        <f t="shared" si="14"/>
        <v>43819.641972530284</v>
      </c>
    </row>
    <row r="276" spans="1:13">
      <c r="A276">
        <v>23914.97</v>
      </c>
      <c r="B276">
        <v>8018</v>
      </c>
      <c r="C276">
        <v>89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739374.56</v>
      </c>
      <c r="K276">
        <f t="shared" si="12"/>
        <v>695100.17551000637</v>
      </c>
      <c r="L276">
        <f t="shared" si="13"/>
        <v>44274.384489993681</v>
      </c>
      <c r="M276">
        <f t="shared" si="14"/>
        <v>44274.384489993681</v>
      </c>
    </row>
    <row r="277" spans="1:13">
      <c r="A277">
        <v>75305.710000000006</v>
      </c>
      <c r="B277">
        <v>10940</v>
      </c>
      <c r="C277">
        <v>76.5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834017.02</v>
      </c>
      <c r="K277">
        <f t="shared" si="12"/>
        <v>789221.38948802312</v>
      </c>
      <c r="L277">
        <f t="shared" si="13"/>
        <v>44795.630511976895</v>
      </c>
      <c r="M277">
        <f t="shared" si="14"/>
        <v>44795.630511976895</v>
      </c>
    </row>
    <row r="278" spans="1:13">
      <c r="A278">
        <v>41819.449999999997</v>
      </c>
      <c r="B278">
        <v>9412</v>
      </c>
      <c r="C278">
        <v>91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804975.5</v>
      </c>
      <c r="K278">
        <f t="shared" si="12"/>
        <v>759563.17370850476</v>
      </c>
      <c r="L278">
        <f t="shared" si="13"/>
        <v>45412.326291495236</v>
      </c>
      <c r="M278">
        <f t="shared" si="14"/>
        <v>45412.326291495236</v>
      </c>
    </row>
    <row r="279" spans="1:13">
      <c r="A279">
        <v>75269.87</v>
      </c>
      <c r="B279">
        <v>8838</v>
      </c>
      <c r="C279">
        <v>83.1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820593.93</v>
      </c>
      <c r="K279">
        <f t="shared" si="12"/>
        <v>774780.26055263565</v>
      </c>
      <c r="L279">
        <f t="shared" si="13"/>
        <v>45813.669447364402</v>
      </c>
      <c r="M279">
        <f t="shared" si="14"/>
        <v>45813.669447364402</v>
      </c>
    </row>
    <row r="280" spans="1:13">
      <c r="A280">
        <v>67979.88</v>
      </c>
      <c r="B280">
        <v>11230</v>
      </c>
      <c r="C280">
        <v>85.3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910791.94</v>
      </c>
      <c r="K280">
        <f t="shared" si="12"/>
        <v>864381.41146794544</v>
      </c>
      <c r="L280">
        <f t="shared" si="13"/>
        <v>46410.528532054508</v>
      </c>
      <c r="M280">
        <f t="shared" si="14"/>
        <v>46410.528532054508</v>
      </c>
    </row>
    <row r="281" spans="1:13">
      <c r="A281">
        <v>53084.76</v>
      </c>
      <c r="B281">
        <v>3642</v>
      </c>
      <c r="C281">
        <v>91.4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635181.35</v>
      </c>
      <c r="K281">
        <f t="shared" si="12"/>
        <v>588700.83562714583</v>
      </c>
      <c r="L281">
        <f t="shared" si="13"/>
        <v>46480.514372854144</v>
      </c>
      <c r="M281">
        <f t="shared" si="14"/>
        <v>46480.514372854144</v>
      </c>
    </row>
    <row r="282" spans="1:13">
      <c r="A282">
        <v>71641.899999999994</v>
      </c>
      <c r="B282">
        <v>3506</v>
      </c>
      <c r="C282">
        <v>86.4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625993.82999999996</v>
      </c>
      <c r="K282">
        <f t="shared" si="12"/>
        <v>579046.68575835449</v>
      </c>
      <c r="L282">
        <f t="shared" si="13"/>
        <v>46947.144241645467</v>
      </c>
      <c r="M282">
        <f t="shared" si="14"/>
        <v>46947.144241645467</v>
      </c>
    </row>
    <row r="283" spans="1:13">
      <c r="A283">
        <v>23254.57</v>
      </c>
      <c r="B283">
        <v>3847</v>
      </c>
      <c r="C283">
        <v>93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620973.03</v>
      </c>
      <c r="K283">
        <f t="shared" si="12"/>
        <v>573289.71802778426</v>
      </c>
      <c r="L283">
        <f t="shared" si="13"/>
        <v>47683.311972215772</v>
      </c>
      <c r="M283">
        <f t="shared" si="14"/>
        <v>47683.311972215772</v>
      </c>
    </row>
    <row r="284" spans="1:13">
      <c r="A284">
        <v>22387.26</v>
      </c>
      <c r="B284">
        <v>6301</v>
      </c>
      <c r="C284">
        <v>85.9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665342.49</v>
      </c>
      <c r="K284">
        <f t="shared" si="12"/>
        <v>617343.81350899336</v>
      </c>
      <c r="L284">
        <f t="shared" si="13"/>
        <v>47998.676491006627</v>
      </c>
      <c r="M284">
        <f t="shared" si="14"/>
        <v>47998.676491006627</v>
      </c>
    </row>
    <row r="285" spans="1:13">
      <c r="A285">
        <v>29389.32</v>
      </c>
      <c r="B285">
        <v>7925</v>
      </c>
      <c r="C285">
        <v>90.9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783582</v>
      </c>
      <c r="K285">
        <f t="shared" si="12"/>
        <v>733774.73253494059</v>
      </c>
      <c r="L285">
        <f t="shared" si="13"/>
        <v>49807.267465059413</v>
      </c>
      <c r="M285">
        <f t="shared" si="14"/>
        <v>49807.267465059413</v>
      </c>
    </row>
    <row r="286" spans="1:13">
      <c r="A286">
        <v>56517.9</v>
      </c>
      <c r="B286">
        <v>9574</v>
      </c>
      <c r="C286">
        <v>88.2</v>
      </c>
      <c r="D286">
        <v>0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842157.92</v>
      </c>
      <c r="K286">
        <f t="shared" si="12"/>
        <v>792113.80533065449</v>
      </c>
      <c r="L286">
        <f t="shared" si="13"/>
        <v>50044.114669345552</v>
      </c>
      <c r="M286">
        <f t="shared" si="14"/>
        <v>50044.114669345552</v>
      </c>
    </row>
    <row r="287" spans="1:13">
      <c r="A287">
        <v>31997.25</v>
      </c>
      <c r="B287">
        <v>8183</v>
      </c>
      <c r="C287">
        <v>93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780580.95</v>
      </c>
      <c r="K287">
        <f t="shared" si="12"/>
        <v>730495.30026164372</v>
      </c>
      <c r="L287">
        <f t="shared" si="13"/>
        <v>50085.649738356238</v>
      </c>
      <c r="M287">
        <f t="shared" si="14"/>
        <v>50085.649738356238</v>
      </c>
    </row>
    <row r="288" spans="1:13">
      <c r="A288">
        <v>50825.08</v>
      </c>
      <c r="B288">
        <v>8949</v>
      </c>
      <c r="C288">
        <v>84.7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769702.76</v>
      </c>
      <c r="K288">
        <f t="shared" si="12"/>
        <v>716997.16981777141</v>
      </c>
      <c r="L288">
        <f t="shared" si="13"/>
        <v>52705.590182228596</v>
      </c>
      <c r="M288">
        <f t="shared" si="14"/>
        <v>52705.590182228596</v>
      </c>
    </row>
    <row r="289" spans="1:13">
      <c r="A289">
        <v>47241.919999999998</v>
      </c>
      <c r="B289">
        <v>4264</v>
      </c>
      <c r="C289">
        <v>95.3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658072.14</v>
      </c>
      <c r="K289">
        <f t="shared" si="12"/>
        <v>604430.1558314336</v>
      </c>
      <c r="L289">
        <f t="shared" si="13"/>
        <v>53641.984168566414</v>
      </c>
      <c r="M289">
        <f t="shared" si="14"/>
        <v>53641.984168566414</v>
      </c>
    </row>
    <row r="290" spans="1:13">
      <c r="A290">
        <v>54300.87</v>
      </c>
      <c r="B290">
        <v>7875</v>
      </c>
      <c r="C290">
        <v>94.1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795464.47</v>
      </c>
      <c r="K290">
        <f t="shared" si="12"/>
        <v>741470.0285390208</v>
      </c>
      <c r="L290">
        <f t="shared" si="13"/>
        <v>53994.441460979171</v>
      </c>
      <c r="M290">
        <f t="shared" si="14"/>
        <v>53994.441460979171</v>
      </c>
    </row>
    <row r="291" spans="1:13">
      <c r="A291">
        <v>113736</v>
      </c>
      <c r="B291">
        <v>8961</v>
      </c>
      <c r="C291">
        <v>86.2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</v>
      </c>
      <c r="J291">
        <v>870937.4</v>
      </c>
      <c r="K291">
        <f t="shared" si="12"/>
        <v>813182.56981042004</v>
      </c>
      <c r="L291">
        <f t="shared" si="13"/>
        <v>57754.830189579981</v>
      </c>
      <c r="M291">
        <f t="shared" si="14"/>
        <v>57754.830189579981</v>
      </c>
    </row>
    <row r="292" spans="1:13">
      <c r="A292">
        <v>74907.98</v>
      </c>
      <c r="B292">
        <v>5306</v>
      </c>
      <c r="C292">
        <v>95.6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749559.71</v>
      </c>
      <c r="K292">
        <f t="shared" si="12"/>
        <v>691367.52434422087</v>
      </c>
      <c r="L292">
        <f t="shared" si="13"/>
        <v>58192.185655779089</v>
      </c>
      <c r="M292">
        <f t="shared" si="14"/>
        <v>58192.185655779089</v>
      </c>
    </row>
    <row r="293" spans="1:13">
      <c r="A293">
        <v>56918.16</v>
      </c>
      <c r="B293">
        <v>7015</v>
      </c>
      <c r="C293">
        <v>74.2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724216.07</v>
      </c>
      <c r="K293">
        <f t="shared" si="12"/>
        <v>664890.11224726273</v>
      </c>
      <c r="L293">
        <f t="shared" si="13"/>
        <v>59325.957752737217</v>
      </c>
      <c r="M293">
        <f t="shared" si="14"/>
        <v>59325.957752737217</v>
      </c>
    </row>
    <row r="294" spans="1:13">
      <c r="A294">
        <v>71828.259999999995</v>
      </c>
      <c r="B294">
        <v>12775</v>
      </c>
      <c r="C294">
        <v>81.7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922168.6</v>
      </c>
      <c r="K294">
        <f t="shared" si="12"/>
        <v>862620.29822150827</v>
      </c>
      <c r="L294">
        <f t="shared" si="13"/>
        <v>59548.301778491703</v>
      </c>
      <c r="M294">
        <f t="shared" si="14"/>
        <v>59548.301778491703</v>
      </c>
    </row>
    <row r="295" spans="1:13">
      <c r="A295">
        <v>71838.86</v>
      </c>
      <c r="B295">
        <v>10979</v>
      </c>
      <c r="C295">
        <v>88.6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930581.7</v>
      </c>
      <c r="K295">
        <f t="shared" si="12"/>
        <v>870240.64113299118</v>
      </c>
      <c r="L295">
        <f t="shared" si="13"/>
        <v>60341.058867008775</v>
      </c>
      <c r="M295">
        <f t="shared" si="14"/>
        <v>60341.058867008775</v>
      </c>
    </row>
    <row r="296" spans="1:13">
      <c r="A296">
        <v>71851.45</v>
      </c>
      <c r="B296">
        <v>4970</v>
      </c>
      <c r="C296">
        <v>89.6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691447.43</v>
      </c>
      <c r="K296">
        <f t="shared" si="12"/>
        <v>630124.58564918477</v>
      </c>
      <c r="L296">
        <f t="shared" si="13"/>
        <v>61322.844350815285</v>
      </c>
      <c r="M296">
        <f t="shared" si="14"/>
        <v>61322.844350815285</v>
      </c>
    </row>
    <row r="297" spans="1:13">
      <c r="A297">
        <v>78839.39</v>
      </c>
      <c r="B297">
        <v>5150</v>
      </c>
      <c r="C297">
        <v>85.8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735509.4</v>
      </c>
      <c r="K297">
        <f t="shared" si="12"/>
        <v>672718.85484164744</v>
      </c>
      <c r="L297">
        <f t="shared" si="13"/>
        <v>62790.545158352586</v>
      </c>
      <c r="M297">
        <f t="shared" si="14"/>
        <v>62790.545158352586</v>
      </c>
    </row>
    <row r="298" spans="1:13">
      <c r="A298">
        <v>67439.3</v>
      </c>
      <c r="B298">
        <v>6477</v>
      </c>
      <c r="C298">
        <v>90.9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753473.55</v>
      </c>
      <c r="K298">
        <f t="shared" si="12"/>
        <v>690334.04821841163</v>
      </c>
      <c r="L298">
        <f t="shared" si="13"/>
        <v>63139.50178158842</v>
      </c>
      <c r="M298">
        <f t="shared" si="14"/>
        <v>63139.50178158842</v>
      </c>
    </row>
    <row r="299" spans="1:13">
      <c r="A299">
        <v>63582.11</v>
      </c>
      <c r="B299">
        <v>6856</v>
      </c>
      <c r="C299">
        <v>89.5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799046.94</v>
      </c>
      <c r="K299">
        <f t="shared" si="12"/>
        <v>735379.48331882514</v>
      </c>
      <c r="L299">
        <f t="shared" si="13"/>
        <v>63667.456681174808</v>
      </c>
      <c r="M299">
        <f t="shared" si="14"/>
        <v>63667.456681174808</v>
      </c>
    </row>
    <row r="300" spans="1:13">
      <c r="A300">
        <v>69779</v>
      </c>
      <c r="B300">
        <v>6544</v>
      </c>
      <c r="C300">
        <v>90.2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758827.64</v>
      </c>
      <c r="K300">
        <f t="shared" si="12"/>
        <v>694623.56306150497</v>
      </c>
      <c r="L300">
        <f t="shared" si="13"/>
        <v>64204.07693849504</v>
      </c>
      <c r="M300">
        <f t="shared" si="14"/>
        <v>64204.07693849504</v>
      </c>
    </row>
    <row r="301" spans="1:13">
      <c r="A301">
        <v>51450.55</v>
      </c>
      <c r="B301">
        <v>4902</v>
      </c>
      <c r="C301">
        <v>83.7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677640.65</v>
      </c>
      <c r="K301">
        <f t="shared" si="12"/>
        <v>613259.81996370526</v>
      </c>
      <c r="L301">
        <f t="shared" si="13"/>
        <v>64380.830036294763</v>
      </c>
      <c r="M301">
        <f t="shared" si="14"/>
        <v>64380.830036294763</v>
      </c>
    </row>
    <row r="302" spans="1:13">
      <c r="A302">
        <v>64294.23</v>
      </c>
      <c r="B302">
        <v>6992</v>
      </c>
      <c r="C302">
        <v>94.1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795153.84</v>
      </c>
      <c r="K302">
        <f t="shared" si="12"/>
        <v>730086.93302617967</v>
      </c>
      <c r="L302">
        <f t="shared" si="13"/>
        <v>65066.906973820296</v>
      </c>
      <c r="M302">
        <f t="shared" si="14"/>
        <v>65066.906973820296</v>
      </c>
    </row>
    <row r="303" spans="1:13">
      <c r="A303">
        <v>48031.74</v>
      </c>
      <c r="B303">
        <v>6516</v>
      </c>
      <c r="C303">
        <v>99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765906.95</v>
      </c>
      <c r="K303">
        <f t="shared" si="12"/>
        <v>698577.94269253162</v>
      </c>
      <c r="L303">
        <f t="shared" si="13"/>
        <v>67329.007307468331</v>
      </c>
      <c r="M303">
        <f t="shared" si="14"/>
        <v>67329.007307468331</v>
      </c>
    </row>
    <row r="304" spans="1:13">
      <c r="A304">
        <v>68077.539999999994</v>
      </c>
      <c r="B304">
        <v>3360</v>
      </c>
      <c r="C304">
        <v>88.2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657429.18000000005</v>
      </c>
      <c r="K304">
        <f t="shared" si="12"/>
        <v>587493.09169143066</v>
      </c>
      <c r="L304">
        <f t="shared" si="13"/>
        <v>69936.088308569393</v>
      </c>
      <c r="M304">
        <f t="shared" si="14"/>
        <v>69936.088308569393</v>
      </c>
    </row>
    <row r="305" spans="1:13">
      <c r="A305">
        <v>70937.240000000005</v>
      </c>
      <c r="B305">
        <v>3595</v>
      </c>
      <c r="C305">
        <v>88.9</v>
      </c>
      <c r="D305">
        <v>0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661927.14</v>
      </c>
      <c r="K305">
        <f t="shared" si="12"/>
        <v>588625.99740844429</v>
      </c>
      <c r="L305">
        <f t="shared" si="13"/>
        <v>73301.142591555719</v>
      </c>
      <c r="M305">
        <f t="shared" si="14"/>
        <v>73301.142591555719</v>
      </c>
    </row>
    <row r="306" spans="1:13">
      <c r="A306">
        <v>38297.58</v>
      </c>
      <c r="B306">
        <v>5893</v>
      </c>
      <c r="C306">
        <v>77.599999999999994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686737.87</v>
      </c>
      <c r="K306">
        <f t="shared" si="12"/>
        <v>613120.70711526892</v>
      </c>
      <c r="L306">
        <f t="shared" si="13"/>
        <v>73617.162884731079</v>
      </c>
      <c r="M306">
        <f t="shared" si="14"/>
        <v>73617.162884731079</v>
      </c>
    </row>
    <row r="307" spans="1:13">
      <c r="A307">
        <v>86421.88</v>
      </c>
      <c r="B307">
        <v>7970</v>
      </c>
      <c r="C307">
        <v>91.3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838250.32</v>
      </c>
      <c r="K307">
        <f t="shared" si="12"/>
        <v>764629.35714565543</v>
      </c>
      <c r="L307">
        <f t="shared" si="13"/>
        <v>73620.962854344514</v>
      </c>
      <c r="M307">
        <f t="shared" si="14"/>
        <v>73620.962854344514</v>
      </c>
    </row>
    <row r="308" spans="1:13">
      <c r="A308">
        <v>65272.58</v>
      </c>
      <c r="B308">
        <v>8165</v>
      </c>
      <c r="C308">
        <v>87.8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840108.12</v>
      </c>
      <c r="K308">
        <f t="shared" si="12"/>
        <v>765919.90128127381</v>
      </c>
      <c r="L308">
        <f t="shared" si="13"/>
        <v>74188.218718726188</v>
      </c>
      <c r="M308">
        <f t="shared" si="14"/>
        <v>74188.218718726188</v>
      </c>
    </row>
    <row r="309" spans="1:13">
      <c r="A309">
        <v>55477.61</v>
      </c>
      <c r="B309">
        <v>5903</v>
      </c>
      <c r="C309">
        <v>96.2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763162.45</v>
      </c>
      <c r="K309">
        <f t="shared" si="12"/>
        <v>688954.96457790746</v>
      </c>
      <c r="L309">
        <f t="shared" si="13"/>
        <v>74207.48542209249</v>
      </c>
      <c r="M309">
        <f t="shared" si="14"/>
        <v>74207.48542209249</v>
      </c>
    </row>
    <row r="310" spans="1:13">
      <c r="A310">
        <v>48438.85</v>
      </c>
      <c r="B310">
        <v>6992</v>
      </c>
      <c r="C310">
        <v>91</v>
      </c>
      <c r="D310">
        <v>0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778298.88</v>
      </c>
      <c r="K310">
        <f t="shared" si="12"/>
        <v>703378.52279203176</v>
      </c>
      <c r="L310">
        <f t="shared" si="13"/>
        <v>74920.357207968249</v>
      </c>
      <c r="M310">
        <f t="shared" si="14"/>
        <v>74920.357207968249</v>
      </c>
    </row>
    <row r="311" spans="1:13">
      <c r="A311">
        <v>72731.14</v>
      </c>
      <c r="B311">
        <v>4644</v>
      </c>
      <c r="C311">
        <v>87.1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727241.86</v>
      </c>
      <c r="K311">
        <f t="shared" si="12"/>
        <v>652176.65385517862</v>
      </c>
      <c r="L311">
        <f t="shared" si="13"/>
        <v>75065.206144821364</v>
      </c>
      <c r="M311">
        <f t="shared" si="14"/>
        <v>75065.206144821364</v>
      </c>
    </row>
    <row r="312" spans="1:13">
      <c r="A312">
        <v>68148.52</v>
      </c>
      <c r="B312">
        <v>8567</v>
      </c>
      <c r="C312">
        <v>95.6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850164.26</v>
      </c>
      <c r="K312">
        <f t="shared" si="12"/>
        <v>773503.5030780565</v>
      </c>
      <c r="L312">
        <f t="shared" si="13"/>
        <v>76660.75692194351</v>
      </c>
      <c r="M312">
        <f t="shared" si="14"/>
        <v>76660.75692194351</v>
      </c>
    </row>
    <row r="313" spans="1:13">
      <c r="A313">
        <v>61650.79</v>
      </c>
      <c r="B313">
        <v>5321</v>
      </c>
      <c r="C313">
        <v>89.2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723305.11</v>
      </c>
      <c r="K313">
        <f t="shared" si="12"/>
        <v>639279.12245547445</v>
      </c>
      <c r="L313">
        <f t="shared" si="13"/>
        <v>84025.987544525531</v>
      </c>
      <c r="M313">
        <f t="shared" si="14"/>
        <v>84025.987544525531</v>
      </c>
    </row>
    <row r="314" spans="1:13">
      <c r="A314">
        <v>78111.97</v>
      </c>
      <c r="B314">
        <v>6389</v>
      </c>
      <c r="C314">
        <v>83.9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787715.51</v>
      </c>
      <c r="K314">
        <f t="shared" si="12"/>
        <v>700002.29657328152</v>
      </c>
      <c r="L314">
        <f t="shared" si="13"/>
        <v>87713.213426718488</v>
      </c>
      <c r="M314">
        <f t="shared" si="14"/>
        <v>87713.213426718488</v>
      </c>
    </row>
    <row r="315" spans="1:13">
      <c r="A315">
        <v>61541.21</v>
      </c>
      <c r="B315">
        <v>10396</v>
      </c>
      <c r="C315">
        <v>88.1</v>
      </c>
      <c r="D315">
        <v>0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914544.17</v>
      </c>
      <c r="K315">
        <f t="shared" si="12"/>
        <v>825619.93490166555</v>
      </c>
      <c r="L315">
        <f t="shared" si="13"/>
        <v>88924.235098334495</v>
      </c>
      <c r="M315">
        <f t="shared" si="14"/>
        <v>88924.235098334495</v>
      </c>
    </row>
    <row r="316" spans="1:13">
      <c r="A316">
        <v>70144.78</v>
      </c>
      <c r="B316">
        <v>6806</v>
      </c>
      <c r="C316">
        <v>93.1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788087.68</v>
      </c>
      <c r="K316">
        <f t="shared" si="12"/>
        <v>692268.98329696502</v>
      </c>
      <c r="L316">
        <f t="shared" si="13"/>
        <v>95818.696703035035</v>
      </c>
      <c r="M316">
        <f t="shared" si="14"/>
        <v>95818.696703035035</v>
      </c>
    </row>
    <row r="317" spans="1:13">
      <c r="A317">
        <v>57360.01</v>
      </c>
      <c r="B317">
        <v>8434</v>
      </c>
      <c r="C317">
        <v>84.1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820519.04</v>
      </c>
      <c r="K317">
        <f t="shared" si="12"/>
        <v>724483.25729693961</v>
      </c>
      <c r="L317">
        <f t="shared" si="13"/>
        <v>96035.782703060424</v>
      </c>
      <c r="M317">
        <f t="shared" si="14"/>
        <v>96035.782703060424</v>
      </c>
    </row>
    <row r="318" spans="1:13">
      <c r="A318">
        <v>61391.8</v>
      </c>
      <c r="B318">
        <v>5575</v>
      </c>
      <c r="C318">
        <v>90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735786.64</v>
      </c>
      <c r="K318">
        <f t="shared" si="12"/>
        <v>639364.47245226894</v>
      </c>
      <c r="L318">
        <f t="shared" si="13"/>
        <v>96422.167547731078</v>
      </c>
      <c r="M318">
        <f t="shared" si="14"/>
        <v>96422.167547731078</v>
      </c>
    </row>
    <row r="319" spans="1:13">
      <c r="A319">
        <v>32266.639999999999</v>
      </c>
      <c r="B319">
        <v>2414</v>
      </c>
      <c r="C319">
        <v>92.1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625514.04</v>
      </c>
      <c r="K319">
        <f t="shared" si="12"/>
        <v>524454.49627888121</v>
      </c>
      <c r="L319">
        <f t="shared" si="13"/>
        <v>101059.54372111883</v>
      </c>
      <c r="M319">
        <f t="shared" si="14"/>
        <v>101059.54372111883</v>
      </c>
    </row>
    <row r="320" spans="1:13">
      <c r="A320">
        <v>52758.01</v>
      </c>
      <c r="B320">
        <v>4063</v>
      </c>
      <c r="C320">
        <v>91.7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713611.16</v>
      </c>
      <c r="K320">
        <f t="shared" si="12"/>
        <v>603455.90210688952</v>
      </c>
      <c r="L320">
        <f t="shared" si="13"/>
        <v>110155.25789311051</v>
      </c>
      <c r="M320">
        <f t="shared" si="14"/>
        <v>110155.25789311051</v>
      </c>
    </row>
    <row r="321" spans="1:13">
      <c r="A321">
        <v>56737.3</v>
      </c>
      <c r="B321">
        <v>8300</v>
      </c>
      <c r="C321">
        <v>83.2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813316.71</v>
      </c>
      <c r="K321">
        <f t="shared" si="12"/>
        <v>697606.07891942153</v>
      </c>
      <c r="L321">
        <f t="shared" si="13"/>
        <v>115710.63108057843</v>
      </c>
      <c r="M321">
        <f t="shared" si="14"/>
        <v>115710.63108057843</v>
      </c>
    </row>
  </sheetData>
  <autoFilter ref="A1:M321" xr:uid="{9B454D00-EEF7-49C7-B6DF-697FC797BC0D}">
    <sortState xmlns:xlrd2="http://schemas.microsoft.com/office/spreadsheetml/2017/richdata2" ref="A2:M321">
      <sortCondition ref="L1:L32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BDD9-2608-4419-9F29-2920E2FB08B2}">
  <dimension ref="A1:G7"/>
  <sheetViews>
    <sheetView tabSelected="1" zoomScale="57" zoomScaleNormal="57" workbookViewId="0">
      <selection activeCell="E16" sqref="E16"/>
    </sheetView>
  </sheetViews>
  <sheetFormatPr defaultRowHeight="14.5"/>
  <cols>
    <col min="1" max="1" width="21.90625" customWidth="1"/>
    <col min="2" max="2" width="45" customWidth="1"/>
    <col min="3" max="3" width="13.26953125" customWidth="1"/>
    <col min="4" max="4" width="38.26953125" customWidth="1"/>
    <col min="5" max="5" width="68.81640625" customWidth="1"/>
    <col min="6" max="6" width="67.08984375" customWidth="1"/>
    <col min="7" max="7" width="51.7265625" customWidth="1"/>
  </cols>
  <sheetData>
    <row r="1" spans="1:7" ht="17" customHeight="1"/>
    <row r="2" spans="1:7" ht="48" customHeight="1">
      <c r="A2" s="66" t="s">
        <v>150</v>
      </c>
      <c r="B2" s="67" t="s">
        <v>151</v>
      </c>
      <c r="C2" s="67" t="s">
        <v>152</v>
      </c>
      <c r="D2" s="67" t="s">
        <v>153</v>
      </c>
      <c r="E2" s="67" t="s">
        <v>154</v>
      </c>
      <c r="F2" s="67" t="s">
        <v>155</v>
      </c>
      <c r="G2" s="68" t="s">
        <v>156</v>
      </c>
    </row>
    <row r="3" spans="1:7" ht="29">
      <c r="A3" s="69" t="s">
        <v>157</v>
      </c>
      <c r="B3" s="70" t="s">
        <v>162</v>
      </c>
      <c r="C3" s="71">
        <v>0.16700000000000001</v>
      </c>
      <c r="D3" s="70" t="s">
        <v>4</v>
      </c>
      <c r="E3" s="72" t="s">
        <v>163</v>
      </c>
      <c r="F3" s="72" t="s">
        <v>164</v>
      </c>
      <c r="G3" s="73" t="s">
        <v>165</v>
      </c>
    </row>
    <row r="4" spans="1:7" ht="18" customHeight="1">
      <c r="A4" s="74"/>
      <c r="B4" s="5"/>
      <c r="C4" s="75"/>
      <c r="D4" s="5"/>
      <c r="E4" s="5"/>
      <c r="F4" s="5"/>
      <c r="G4" s="15"/>
    </row>
    <row r="5" spans="1:7" ht="46" customHeight="1">
      <c r="A5" s="69" t="s">
        <v>158</v>
      </c>
      <c r="B5" s="70" t="s">
        <v>166</v>
      </c>
      <c r="C5" s="71">
        <v>0.73599999999999999</v>
      </c>
      <c r="D5" s="70" t="s">
        <v>5</v>
      </c>
      <c r="E5" s="72" t="s">
        <v>167</v>
      </c>
      <c r="F5" s="72" t="s">
        <v>168</v>
      </c>
      <c r="G5" s="73" t="s">
        <v>169</v>
      </c>
    </row>
    <row r="6" spans="1:7">
      <c r="A6" s="74"/>
      <c r="B6" s="5"/>
      <c r="C6" s="75"/>
      <c r="D6" s="5"/>
      <c r="E6" s="5"/>
      <c r="F6" s="76"/>
      <c r="G6" s="15"/>
    </row>
    <row r="7" spans="1:7" ht="77.5" customHeight="1">
      <c r="A7" s="77" t="s">
        <v>159</v>
      </c>
      <c r="B7" s="78" t="s">
        <v>160</v>
      </c>
      <c r="C7" s="79">
        <v>0.82699999999999996</v>
      </c>
      <c r="D7" s="78" t="s">
        <v>161</v>
      </c>
      <c r="E7" s="78" t="s">
        <v>171</v>
      </c>
      <c r="F7" s="78" t="s">
        <v>175</v>
      </c>
      <c r="G7" s="80" t="s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 Dummy_Variables</vt:lpstr>
      <vt:lpstr>Simple_Regression</vt:lpstr>
      <vt:lpstr>Multiple_Regression</vt:lpstr>
      <vt:lpstr>Predictions_Residuals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</dc:creator>
  <cp:lastModifiedBy>Vishesh Sachdeva</cp:lastModifiedBy>
  <dcterms:created xsi:type="dcterms:W3CDTF">2015-06-05T18:17:20Z</dcterms:created>
  <dcterms:modified xsi:type="dcterms:W3CDTF">2026-06-25T10:47:06Z</dcterms:modified>
</cp:coreProperties>
</file>